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ME-COM-02740\Desktop\V2-crm-dominus\crm_dominus\apps\dados\"/>
    </mc:Choice>
  </mc:AlternateContent>
  <xr:revisionPtr revIDLastSave="0" documentId="13_ncr:1_{CD4C69F3-1DA4-4B1F-8C88-E0D389BE1C0E}" xr6:coauthVersionLast="47" xr6:coauthVersionMax="47" xr10:uidLastSave="{00000000-0000-0000-0000-000000000000}"/>
  <bookViews>
    <workbookView xWindow="-108" yWindow="-108" windowWidth="23256" windowHeight="12456" xr2:uid="{5C431FBB-4E14-4422-93F8-E10A7C608CE7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14" i="1" l="1"/>
  <c r="G1714" i="1"/>
  <c r="F1714" i="1"/>
  <c r="E1714" i="1"/>
  <c r="H1713" i="1"/>
  <c r="G1713" i="1"/>
  <c r="F1713" i="1"/>
  <c r="E1713" i="1"/>
  <c r="H1712" i="1"/>
  <c r="G1712" i="1"/>
  <c r="F1712" i="1"/>
  <c r="E1712" i="1"/>
  <c r="H1711" i="1"/>
  <c r="G1711" i="1"/>
  <c r="F1711" i="1"/>
  <c r="E1711" i="1"/>
  <c r="H1710" i="1"/>
  <c r="G1710" i="1"/>
  <c r="F1710" i="1"/>
  <c r="E1710" i="1"/>
  <c r="H1709" i="1"/>
  <c r="G1709" i="1"/>
  <c r="F1709" i="1"/>
  <c r="E1709" i="1"/>
  <c r="H1708" i="1"/>
  <c r="G1708" i="1"/>
  <c r="F1708" i="1"/>
  <c r="E1708" i="1"/>
  <c r="H1707" i="1"/>
  <c r="G1707" i="1"/>
  <c r="F1707" i="1"/>
  <c r="E1707" i="1"/>
  <c r="H1706" i="1"/>
  <c r="G1706" i="1"/>
  <c r="F1706" i="1"/>
  <c r="E1706" i="1"/>
  <c r="H1705" i="1"/>
  <c r="G1705" i="1"/>
  <c r="F1705" i="1"/>
  <c r="E1705" i="1"/>
  <c r="H1704" i="1"/>
  <c r="G1704" i="1"/>
  <c r="F1704" i="1"/>
  <c r="E1704" i="1"/>
  <c r="H1703" i="1"/>
  <c r="G1703" i="1"/>
  <c r="F1703" i="1"/>
  <c r="E1703" i="1"/>
  <c r="H1702" i="1"/>
  <c r="G1702" i="1"/>
  <c r="F1702" i="1"/>
  <c r="E1702" i="1"/>
  <c r="H1701" i="1"/>
  <c r="G1701" i="1"/>
  <c r="F1701" i="1"/>
  <c r="E1701" i="1"/>
  <c r="H1700" i="1"/>
  <c r="G1700" i="1"/>
  <c r="F1700" i="1"/>
  <c r="E1700" i="1"/>
  <c r="H1699" i="1"/>
  <c r="G1699" i="1"/>
  <c r="F1699" i="1"/>
  <c r="E1699" i="1"/>
  <c r="H1698" i="1"/>
  <c r="G1698" i="1"/>
  <c r="F1698" i="1"/>
  <c r="E1698" i="1"/>
  <c r="H1697" i="1"/>
  <c r="G1697" i="1"/>
  <c r="F1697" i="1"/>
  <c r="E1697" i="1"/>
  <c r="H1696" i="1"/>
  <c r="G1696" i="1"/>
  <c r="F1696" i="1"/>
  <c r="E1696" i="1"/>
  <c r="H1695" i="1"/>
  <c r="G1695" i="1"/>
  <c r="F1695" i="1"/>
  <c r="E1695" i="1"/>
  <c r="H1694" i="1"/>
  <c r="G1694" i="1"/>
  <c r="F1694" i="1"/>
  <c r="E1694" i="1"/>
  <c r="H1693" i="1"/>
  <c r="G1693" i="1"/>
  <c r="F1693" i="1"/>
  <c r="E1693" i="1"/>
  <c r="H1692" i="1"/>
  <c r="G1692" i="1"/>
  <c r="F1692" i="1"/>
  <c r="E1692" i="1"/>
  <c r="H1691" i="1"/>
  <c r="G1691" i="1"/>
  <c r="F1691" i="1"/>
  <c r="E1691" i="1"/>
  <c r="H1690" i="1"/>
  <c r="G1690" i="1"/>
  <c r="F1690" i="1"/>
  <c r="E1690" i="1"/>
  <c r="H1689" i="1"/>
  <c r="G1689" i="1"/>
  <c r="F1689" i="1"/>
  <c r="E1689" i="1"/>
  <c r="H1688" i="1"/>
  <c r="G1688" i="1"/>
  <c r="F1688" i="1"/>
  <c r="E1688" i="1"/>
  <c r="H1687" i="1"/>
  <c r="G1687" i="1"/>
  <c r="F1687" i="1"/>
  <c r="E1687" i="1"/>
  <c r="H1686" i="1"/>
  <c r="G1686" i="1"/>
  <c r="F1686" i="1"/>
  <c r="E1686" i="1"/>
  <c r="H1685" i="1"/>
  <c r="G1685" i="1"/>
  <c r="F1685" i="1"/>
  <c r="E1685" i="1"/>
  <c r="H1684" i="1"/>
  <c r="G1684" i="1"/>
  <c r="F1684" i="1"/>
  <c r="E1684" i="1"/>
  <c r="H1683" i="1"/>
  <c r="G1683" i="1"/>
  <c r="F1683" i="1"/>
  <c r="E1683" i="1"/>
  <c r="H1682" i="1"/>
  <c r="G1682" i="1"/>
  <c r="F1682" i="1"/>
  <c r="E1682" i="1"/>
  <c r="H1681" i="1"/>
  <c r="G1681" i="1"/>
  <c r="F1681" i="1"/>
  <c r="E1681" i="1"/>
  <c r="H1680" i="1"/>
  <c r="G1680" i="1"/>
  <c r="F1680" i="1"/>
  <c r="E1680" i="1"/>
  <c r="H1679" i="1"/>
  <c r="G1679" i="1"/>
  <c r="F1679" i="1"/>
  <c r="E1679" i="1"/>
  <c r="H1678" i="1"/>
  <c r="G1678" i="1"/>
  <c r="F1678" i="1"/>
  <c r="E1678" i="1"/>
  <c r="H1677" i="1"/>
  <c r="G1677" i="1"/>
  <c r="F1677" i="1"/>
  <c r="E1677" i="1"/>
  <c r="H1676" i="1"/>
  <c r="G1676" i="1"/>
  <c r="F1676" i="1"/>
  <c r="E1676" i="1"/>
  <c r="H1675" i="1"/>
  <c r="G1675" i="1"/>
  <c r="F1675" i="1"/>
  <c r="E1675" i="1"/>
  <c r="H1674" i="1"/>
  <c r="G1674" i="1"/>
  <c r="F1674" i="1"/>
  <c r="E1674" i="1"/>
  <c r="H1673" i="1"/>
  <c r="G1673" i="1"/>
  <c r="F1673" i="1"/>
  <c r="E1673" i="1"/>
  <c r="H1672" i="1"/>
  <c r="G1672" i="1"/>
  <c r="F1672" i="1"/>
  <c r="E1672" i="1"/>
  <c r="H1671" i="1"/>
  <c r="G1671" i="1"/>
  <c r="F1671" i="1"/>
  <c r="E1671" i="1"/>
  <c r="H1670" i="1"/>
  <c r="G1670" i="1"/>
  <c r="F1670" i="1"/>
  <c r="E1670" i="1"/>
  <c r="H1669" i="1"/>
  <c r="G1669" i="1"/>
  <c r="F1669" i="1"/>
  <c r="E1669" i="1"/>
  <c r="H1668" i="1"/>
  <c r="G1668" i="1"/>
  <c r="F1668" i="1"/>
  <c r="E1668" i="1"/>
  <c r="H1667" i="1"/>
  <c r="G1667" i="1"/>
  <c r="F1667" i="1"/>
  <c r="E1667" i="1"/>
  <c r="H1666" i="1"/>
  <c r="G1666" i="1"/>
  <c r="F1666" i="1"/>
  <c r="E1666" i="1"/>
  <c r="H1665" i="1"/>
  <c r="G1665" i="1"/>
  <c r="F1665" i="1"/>
  <c r="E1665" i="1"/>
  <c r="H1664" i="1"/>
  <c r="G1664" i="1"/>
  <c r="F1664" i="1"/>
  <c r="E1664" i="1"/>
  <c r="H1663" i="1"/>
  <c r="G1663" i="1"/>
  <c r="F1663" i="1"/>
  <c r="E1663" i="1"/>
  <c r="H1662" i="1"/>
  <c r="G1662" i="1"/>
  <c r="F1662" i="1"/>
  <c r="E1662" i="1"/>
  <c r="H1661" i="1"/>
  <c r="G1661" i="1"/>
  <c r="F1661" i="1"/>
  <c r="E1661" i="1"/>
  <c r="H1660" i="1"/>
  <c r="G1660" i="1"/>
  <c r="F1660" i="1"/>
  <c r="E1660" i="1"/>
  <c r="H1659" i="1"/>
  <c r="G1659" i="1"/>
  <c r="F1659" i="1"/>
  <c r="E1659" i="1"/>
  <c r="H1658" i="1"/>
  <c r="G1658" i="1"/>
  <c r="F1658" i="1"/>
  <c r="E1658" i="1"/>
  <c r="H1657" i="1"/>
  <c r="G1657" i="1"/>
  <c r="F1657" i="1"/>
  <c r="E1657" i="1"/>
  <c r="H1656" i="1"/>
  <c r="G1656" i="1"/>
  <c r="F1656" i="1"/>
  <c r="E1656" i="1"/>
  <c r="H1655" i="1"/>
  <c r="G1655" i="1"/>
  <c r="F1655" i="1"/>
  <c r="E1655" i="1"/>
  <c r="H1654" i="1"/>
  <c r="G1654" i="1"/>
  <c r="F1654" i="1"/>
  <c r="E1654" i="1"/>
  <c r="H1653" i="1"/>
  <c r="G1653" i="1"/>
  <c r="F1653" i="1"/>
  <c r="E1653" i="1"/>
  <c r="H1652" i="1"/>
  <c r="G1652" i="1"/>
  <c r="F1652" i="1"/>
  <c r="E1652" i="1"/>
  <c r="H1651" i="1"/>
  <c r="G1651" i="1"/>
  <c r="F1651" i="1"/>
  <c r="E1651" i="1"/>
  <c r="H1650" i="1"/>
  <c r="G1650" i="1"/>
  <c r="F1650" i="1"/>
  <c r="E1650" i="1"/>
  <c r="H1649" i="1"/>
  <c r="G1649" i="1"/>
  <c r="F1649" i="1"/>
  <c r="E1649" i="1"/>
  <c r="H1648" i="1"/>
  <c r="G1648" i="1"/>
  <c r="F1648" i="1"/>
  <c r="E1648" i="1"/>
  <c r="H1647" i="1"/>
  <c r="G1647" i="1"/>
  <c r="F1647" i="1"/>
  <c r="E1647" i="1"/>
  <c r="H1646" i="1"/>
  <c r="G1646" i="1"/>
  <c r="F1646" i="1"/>
  <c r="E1646" i="1"/>
  <c r="H1645" i="1"/>
  <c r="G1645" i="1"/>
  <c r="F1645" i="1"/>
  <c r="E1645" i="1"/>
  <c r="H1644" i="1"/>
  <c r="G1644" i="1"/>
  <c r="F1644" i="1"/>
  <c r="E1644" i="1"/>
  <c r="H1643" i="1"/>
  <c r="G1643" i="1"/>
  <c r="F1643" i="1"/>
  <c r="E1643" i="1"/>
  <c r="H1642" i="1"/>
  <c r="G1642" i="1"/>
  <c r="F1642" i="1"/>
  <c r="E1642" i="1"/>
  <c r="H1641" i="1"/>
  <c r="G1641" i="1"/>
  <c r="F1641" i="1"/>
  <c r="E1641" i="1"/>
  <c r="H1640" i="1"/>
  <c r="G1640" i="1"/>
  <c r="F1640" i="1"/>
  <c r="E1640" i="1"/>
  <c r="H1639" i="1"/>
  <c r="G1639" i="1"/>
  <c r="F1639" i="1"/>
  <c r="E1639" i="1"/>
  <c r="H1638" i="1"/>
  <c r="G1638" i="1"/>
  <c r="F1638" i="1"/>
  <c r="E1638" i="1"/>
  <c r="H1637" i="1"/>
  <c r="G1637" i="1"/>
  <c r="F1637" i="1"/>
  <c r="E1637" i="1"/>
  <c r="H1636" i="1"/>
  <c r="G1636" i="1"/>
  <c r="F1636" i="1"/>
  <c r="E1636" i="1"/>
  <c r="H1635" i="1"/>
  <c r="G1635" i="1"/>
  <c r="F1635" i="1"/>
  <c r="E1635" i="1"/>
  <c r="H1634" i="1"/>
  <c r="G1634" i="1"/>
  <c r="F1634" i="1"/>
  <c r="E1634" i="1"/>
  <c r="H1633" i="1"/>
  <c r="G1633" i="1"/>
  <c r="F1633" i="1"/>
  <c r="E1633" i="1"/>
  <c r="H1632" i="1"/>
  <c r="G1632" i="1"/>
  <c r="F1632" i="1"/>
  <c r="E1632" i="1"/>
  <c r="H1631" i="1"/>
  <c r="G1631" i="1"/>
  <c r="F1631" i="1"/>
  <c r="E1631" i="1"/>
  <c r="H1630" i="1"/>
  <c r="G1630" i="1"/>
  <c r="F1630" i="1"/>
  <c r="E1630" i="1"/>
  <c r="H1629" i="1"/>
  <c r="G1629" i="1"/>
  <c r="F1629" i="1"/>
  <c r="E1629" i="1"/>
  <c r="H1628" i="1"/>
  <c r="G1628" i="1"/>
  <c r="F1628" i="1"/>
  <c r="E1628" i="1"/>
  <c r="H1627" i="1"/>
  <c r="G1627" i="1"/>
  <c r="F1627" i="1"/>
  <c r="E1627" i="1"/>
  <c r="H1626" i="1"/>
  <c r="G1626" i="1"/>
  <c r="F1626" i="1"/>
  <c r="E1626" i="1"/>
  <c r="H1625" i="1"/>
  <c r="G1625" i="1"/>
  <c r="F1625" i="1"/>
  <c r="E1625" i="1"/>
  <c r="H1624" i="1"/>
  <c r="G1624" i="1"/>
  <c r="F1624" i="1"/>
  <c r="E1624" i="1"/>
  <c r="H1623" i="1"/>
  <c r="G1623" i="1"/>
  <c r="F1623" i="1"/>
  <c r="E1623" i="1"/>
  <c r="H1622" i="1"/>
  <c r="G1622" i="1"/>
  <c r="F1622" i="1"/>
  <c r="E1622" i="1"/>
  <c r="H1621" i="1"/>
  <c r="G1621" i="1"/>
  <c r="F1621" i="1"/>
  <c r="E1621" i="1"/>
  <c r="H1620" i="1"/>
  <c r="G1620" i="1"/>
  <c r="F1620" i="1"/>
  <c r="E1620" i="1"/>
  <c r="H1619" i="1"/>
  <c r="G1619" i="1"/>
  <c r="F1619" i="1"/>
  <c r="E1619" i="1"/>
  <c r="H1618" i="1"/>
  <c r="G1618" i="1"/>
  <c r="F1618" i="1"/>
  <c r="E1618" i="1"/>
  <c r="H1617" i="1"/>
  <c r="G1617" i="1"/>
  <c r="F1617" i="1"/>
  <c r="E1617" i="1"/>
  <c r="H1616" i="1"/>
  <c r="G1616" i="1"/>
  <c r="F1616" i="1"/>
  <c r="E1616" i="1"/>
  <c r="H1615" i="1"/>
  <c r="G1615" i="1"/>
  <c r="F1615" i="1"/>
  <c r="E1615" i="1"/>
  <c r="H1614" i="1"/>
  <c r="G1614" i="1"/>
  <c r="F1614" i="1"/>
  <c r="E1614" i="1"/>
  <c r="H1613" i="1"/>
  <c r="G1613" i="1"/>
  <c r="F1613" i="1"/>
  <c r="E1613" i="1"/>
  <c r="H1612" i="1"/>
  <c r="G1612" i="1"/>
  <c r="F1612" i="1"/>
  <c r="E1612" i="1"/>
  <c r="H1611" i="1"/>
  <c r="G1611" i="1"/>
  <c r="F1611" i="1"/>
  <c r="E1611" i="1"/>
  <c r="H1610" i="1"/>
  <c r="G1610" i="1"/>
  <c r="F1610" i="1"/>
  <c r="E1610" i="1"/>
  <c r="H1609" i="1"/>
  <c r="G1609" i="1"/>
  <c r="F1609" i="1"/>
  <c r="E1609" i="1"/>
  <c r="H1608" i="1"/>
  <c r="G1608" i="1"/>
  <c r="F1608" i="1"/>
  <c r="E1608" i="1"/>
  <c r="H1607" i="1"/>
  <c r="G1607" i="1"/>
  <c r="F1607" i="1"/>
  <c r="E1607" i="1"/>
  <c r="H1606" i="1"/>
  <c r="G1606" i="1"/>
  <c r="F1606" i="1"/>
  <c r="E1606" i="1"/>
  <c r="H1605" i="1"/>
  <c r="G1605" i="1"/>
  <c r="F1605" i="1"/>
  <c r="E1605" i="1"/>
  <c r="H1604" i="1"/>
  <c r="G1604" i="1"/>
  <c r="F1604" i="1"/>
  <c r="E1604" i="1"/>
  <c r="H1603" i="1"/>
  <c r="G1603" i="1"/>
  <c r="F1603" i="1"/>
  <c r="E1603" i="1"/>
  <c r="H1602" i="1"/>
  <c r="G1602" i="1"/>
  <c r="F1602" i="1"/>
  <c r="E1602" i="1"/>
  <c r="H1601" i="1"/>
  <c r="G1601" i="1"/>
  <c r="F1601" i="1"/>
  <c r="E1601" i="1"/>
  <c r="H1600" i="1"/>
  <c r="G1600" i="1"/>
  <c r="F1600" i="1"/>
  <c r="E1600" i="1"/>
  <c r="H1599" i="1"/>
  <c r="G1599" i="1"/>
  <c r="F1599" i="1"/>
  <c r="E1599" i="1"/>
  <c r="H1598" i="1"/>
  <c r="G1598" i="1"/>
  <c r="F1598" i="1"/>
  <c r="E1598" i="1"/>
  <c r="H1597" i="1"/>
  <c r="G1597" i="1"/>
  <c r="F1597" i="1"/>
  <c r="E1597" i="1"/>
  <c r="H1596" i="1"/>
  <c r="G1596" i="1"/>
  <c r="F1596" i="1"/>
  <c r="E1596" i="1"/>
  <c r="H1595" i="1"/>
  <c r="G1595" i="1"/>
  <c r="F1595" i="1"/>
  <c r="E1595" i="1"/>
  <c r="H1594" i="1"/>
  <c r="G1594" i="1"/>
  <c r="F1594" i="1"/>
  <c r="E1594" i="1"/>
  <c r="H1593" i="1"/>
  <c r="G1593" i="1"/>
  <c r="F1593" i="1"/>
  <c r="E1593" i="1"/>
  <c r="H1592" i="1"/>
  <c r="G1592" i="1"/>
  <c r="F1592" i="1"/>
  <c r="E1592" i="1"/>
  <c r="H1591" i="1"/>
  <c r="G1591" i="1"/>
  <c r="F1591" i="1"/>
  <c r="E1591" i="1"/>
  <c r="H1590" i="1"/>
  <c r="G1590" i="1"/>
  <c r="F1590" i="1"/>
  <c r="E1590" i="1"/>
  <c r="H1589" i="1"/>
  <c r="G1589" i="1"/>
  <c r="F1589" i="1"/>
  <c r="E1589" i="1"/>
  <c r="H1588" i="1"/>
  <c r="G1588" i="1"/>
  <c r="F1588" i="1"/>
  <c r="E1588" i="1"/>
  <c r="H1587" i="1"/>
  <c r="G1587" i="1"/>
  <c r="F1587" i="1"/>
  <c r="E1587" i="1"/>
  <c r="H1586" i="1"/>
  <c r="G1586" i="1"/>
  <c r="F1586" i="1"/>
  <c r="E1586" i="1"/>
  <c r="H1585" i="1"/>
  <c r="G1585" i="1"/>
  <c r="F1585" i="1"/>
  <c r="E1585" i="1"/>
  <c r="H1584" i="1"/>
  <c r="G1584" i="1"/>
  <c r="F1584" i="1"/>
  <c r="E1584" i="1"/>
  <c r="H1583" i="1"/>
  <c r="G1583" i="1"/>
  <c r="F1583" i="1"/>
  <c r="E1583" i="1"/>
  <c r="H1582" i="1"/>
  <c r="G1582" i="1"/>
  <c r="F1582" i="1"/>
  <c r="E1582" i="1"/>
  <c r="H1581" i="1"/>
  <c r="G1581" i="1"/>
  <c r="F1581" i="1"/>
  <c r="E1581" i="1"/>
  <c r="H1580" i="1"/>
  <c r="G1580" i="1"/>
  <c r="F1580" i="1"/>
  <c r="E1580" i="1"/>
  <c r="H1579" i="1"/>
  <c r="G1579" i="1"/>
  <c r="F1579" i="1"/>
  <c r="E1579" i="1"/>
  <c r="H1578" i="1"/>
  <c r="G1578" i="1"/>
  <c r="F1578" i="1"/>
  <c r="E1578" i="1"/>
  <c r="H1577" i="1"/>
  <c r="G1577" i="1"/>
  <c r="F1577" i="1"/>
  <c r="E1577" i="1"/>
  <c r="H1576" i="1"/>
  <c r="G1576" i="1"/>
  <c r="F1576" i="1"/>
  <c r="E1576" i="1"/>
  <c r="H1575" i="1"/>
  <c r="G1575" i="1"/>
  <c r="F1575" i="1"/>
  <c r="E1575" i="1"/>
  <c r="H1574" i="1"/>
  <c r="G1574" i="1"/>
  <c r="F1574" i="1"/>
  <c r="E1574" i="1"/>
  <c r="H1573" i="1"/>
  <c r="G1573" i="1"/>
  <c r="F1573" i="1"/>
  <c r="E1573" i="1"/>
  <c r="H1572" i="1"/>
  <c r="G1572" i="1"/>
  <c r="F1572" i="1"/>
  <c r="E1572" i="1"/>
  <c r="H1571" i="1"/>
  <c r="G1571" i="1"/>
  <c r="F1571" i="1"/>
  <c r="E1571" i="1"/>
  <c r="H1570" i="1"/>
  <c r="G1570" i="1"/>
  <c r="F1570" i="1"/>
  <c r="E1570" i="1"/>
  <c r="H1569" i="1"/>
  <c r="G1569" i="1"/>
  <c r="F1569" i="1"/>
  <c r="E1569" i="1"/>
  <c r="H1568" i="1"/>
  <c r="G1568" i="1"/>
  <c r="F1568" i="1"/>
  <c r="E1568" i="1"/>
  <c r="H1567" i="1"/>
  <c r="G1567" i="1"/>
  <c r="F1567" i="1"/>
  <c r="E1567" i="1"/>
  <c r="H1566" i="1"/>
  <c r="G1566" i="1"/>
  <c r="F1566" i="1"/>
  <c r="E1566" i="1"/>
  <c r="H1565" i="1"/>
  <c r="G1565" i="1"/>
  <c r="F1565" i="1"/>
  <c r="E1565" i="1"/>
  <c r="H1564" i="1"/>
  <c r="G1564" i="1"/>
  <c r="F1564" i="1"/>
  <c r="E1564" i="1"/>
  <c r="H1563" i="1"/>
  <c r="G1563" i="1"/>
  <c r="F1563" i="1"/>
  <c r="E1563" i="1"/>
  <c r="H1562" i="1"/>
  <c r="G1562" i="1"/>
  <c r="F1562" i="1"/>
  <c r="E1562" i="1"/>
  <c r="H1561" i="1"/>
  <c r="G1561" i="1"/>
  <c r="F1561" i="1"/>
  <c r="E1561" i="1"/>
  <c r="H1560" i="1"/>
  <c r="G1560" i="1"/>
  <c r="F1560" i="1"/>
  <c r="E1560" i="1"/>
  <c r="H1559" i="1"/>
  <c r="G1559" i="1"/>
  <c r="F1559" i="1"/>
  <c r="E1559" i="1"/>
  <c r="H1558" i="1"/>
  <c r="G1558" i="1"/>
  <c r="F1558" i="1"/>
  <c r="E1558" i="1"/>
  <c r="H1557" i="1"/>
  <c r="G1557" i="1"/>
  <c r="F1557" i="1"/>
  <c r="E1557" i="1"/>
  <c r="H1556" i="1"/>
  <c r="G1556" i="1"/>
  <c r="F1556" i="1"/>
  <c r="E1556" i="1"/>
  <c r="H1555" i="1"/>
  <c r="G1555" i="1"/>
  <c r="F1555" i="1"/>
  <c r="E1555" i="1"/>
  <c r="H1554" i="1"/>
  <c r="G1554" i="1"/>
  <c r="F1554" i="1"/>
  <c r="E1554" i="1"/>
  <c r="H1553" i="1"/>
  <c r="G1553" i="1"/>
  <c r="F1553" i="1"/>
  <c r="E1553" i="1"/>
  <c r="H1552" i="1"/>
  <c r="G1552" i="1"/>
  <c r="F1552" i="1"/>
  <c r="E1552" i="1"/>
  <c r="H1551" i="1"/>
  <c r="G1551" i="1"/>
  <c r="F1551" i="1"/>
  <c r="E1551" i="1"/>
  <c r="H1550" i="1"/>
  <c r="G1550" i="1"/>
  <c r="F1550" i="1"/>
  <c r="E1550" i="1"/>
  <c r="H1549" i="1"/>
  <c r="G1549" i="1"/>
  <c r="F1549" i="1"/>
  <c r="E1549" i="1"/>
  <c r="H1548" i="1"/>
  <c r="G1548" i="1"/>
  <c r="F1548" i="1"/>
  <c r="E1548" i="1"/>
  <c r="H1547" i="1"/>
  <c r="G1547" i="1"/>
  <c r="F1547" i="1"/>
  <c r="E1547" i="1"/>
  <c r="H1546" i="1"/>
  <c r="G1546" i="1"/>
  <c r="F1546" i="1"/>
  <c r="E1546" i="1"/>
  <c r="H1545" i="1"/>
  <c r="G1545" i="1"/>
  <c r="F1545" i="1"/>
  <c r="E1545" i="1"/>
  <c r="H1544" i="1"/>
  <c r="G1544" i="1"/>
  <c r="F1544" i="1"/>
  <c r="E1544" i="1"/>
  <c r="H1543" i="1"/>
  <c r="G1543" i="1"/>
  <c r="F1543" i="1"/>
  <c r="E1543" i="1"/>
  <c r="H1542" i="1"/>
  <c r="G1542" i="1"/>
  <c r="F1542" i="1"/>
  <c r="E1542" i="1"/>
  <c r="H1541" i="1"/>
  <c r="G1541" i="1"/>
  <c r="F1541" i="1"/>
  <c r="E1541" i="1"/>
  <c r="H1540" i="1"/>
  <c r="G1540" i="1"/>
  <c r="F1540" i="1"/>
  <c r="E1540" i="1"/>
  <c r="H1539" i="1"/>
  <c r="G1539" i="1"/>
  <c r="F1539" i="1"/>
  <c r="E1539" i="1"/>
  <c r="H1538" i="1"/>
  <c r="G1538" i="1"/>
  <c r="F1538" i="1"/>
  <c r="E1538" i="1"/>
  <c r="H1537" i="1"/>
  <c r="G1537" i="1"/>
  <c r="F1537" i="1"/>
  <c r="E1537" i="1"/>
  <c r="H1536" i="1"/>
  <c r="G1536" i="1"/>
  <c r="F1536" i="1"/>
  <c r="E1536" i="1"/>
  <c r="H1535" i="1"/>
  <c r="G1535" i="1"/>
  <c r="F1535" i="1"/>
  <c r="E1535" i="1"/>
  <c r="H1534" i="1"/>
  <c r="G1534" i="1"/>
  <c r="F1534" i="1"/>
  <c r="E1534" i="1"/>
  <c r="H1533" i="1"/>
  <c r="G1533" i="1"/>
  <c r="F1533" i="1"/>
  <c r="E1533" i="1"/>
  <c r="H1532" i="1"/>
  <c r="G1532" i="1"/>
  <c r="F1532" i="1"/>
  <c r="E1532" i="1"/>
  <c r="H1531" i="1"/>
  <c r="G1531" i="1"/>
  <c r="F1531" i="1"/>
  <c r="E1531" i="1"/>
  <c r="H1530" i="1"/>
  <c r="G1530" i="1"/>
  <c r="F1530" i="1"/>
  <c r="E1530" i="1"/>
  <c r="H1529" i="1"/>
  <c r="G1529" i="1"/>
  <c r="F1529" i="1"/>
  <c r="E1529" i="1"/>
  <c r="H1528" i="1"/>
  <c r="G1528" i="1"/>
  <c r="F1528" i="1"/>
  <c r="E1528" i="1"/>
  <c r="H1527" i="1"/>
  <c r="G1527" i="1"/>
  <c r="F1527" i="1"/>
  <c r="E1527" i="1"/>
  <c r="H1526" i="1"/>
  <c r="G1526" i="1"/>
  <c r="F1526" i="1"/>
  <c r="E1526" i="1"/>
  <c r="H1525" i="1"/>
  <c r="G1525" i="1"/>
  <c r="F1525" i="1"/>
  <c r="E1525" i="1"/>
  <c r="H1524" i="1"/>
  <c r="G1524" i="1"/>
  <c r="F1524" i="1"/>
  <c r="E1524" i="1"/>
  <c r="H1523" i="1"/>
  <c r="G1523" i="1"/>
  <c r="F1523" i="1"/>
  <c r="E1523" i="1"/>
  <c r="H1522" i="1"/>
  <c r="G1522" i="1"/>
  <c r="F1522" i="1"/>
  <c r="E1522" i="1"/>
  <c r="H1521" i="1"/>
  <c r="G1521" i="1"/>
  <c r="F1521" i="1"/>
  <c r="E1521" i="1"/>
  <c r="H1520" i="1"/>
  <c r="G1520" i="1"/>
  <c r="F1520" i="1"/>
  <c r="E1520" i="1"/>
  <c r="H1519" i="1"/>
  <c r="G1519" i="1"/>
  <c r="F1519" i="1"/>
  <c r="E1519" i="1"/>
  <c r="H1518" i="1"/>
  <c r="G1518" i="1"/>
  <c r="F1518" i="1"/>
  <c r="E1518" i="1"/>
  <c r="H1517" i="1"/>
  <c r="G1517" i="1"/>
  <c r="F1517" i="1"/>
  <c r="E1517" i="1"/>
  <c r="H1516" i="1"/>
  <c r="G1516" i="1"/>
  <c r="F1516" i="1"/>
  <c r="E1516" i="1"/>
  <c r="H1515" i="1"/>
  <c r="G1515" i="1"/>
  <c r="F1515" i="1"/>
  <c r="E1515" i="1"/>
  <c r="H1514" i="1"/>
  <c r="G1514" i="1"/>
  <c r="F1514" i="1"/>
  <c r="E1514" i="1"/>
  <c r="H1513" i="1"/>
  <c r="G1513" i="1"/>
  <c r="F1513" i="1"/>
  <c r="E1513" i="1"/>
  <c r="H1512" i="1"/>
  <c r="G1512" i="1"/>
  <c r="F1512" i="1"/>
  <c r="E1512" i="1"/>
  <c r="H1511" i="1"/>
  <c r="G1511" i="1"/>
  <c r="F1511" i="1"/>
  <c r="E1511" i="1"/>
  <c r="H1510" i="1"/>
  <c r="G1510" i="1"/>
  <c r="F1510" i="1"/>
  <c r="E1510" i="1"/>
  <c r="H1509" i="1"/>
  <c r="G1509" i="1"/>
  <c r="F1509" i="1"/>
  <c r="E1509" i="1"/>
  <c r="H1508" i="1"/>
  <c r="G1508" i="1"/>
  <c r="F1508" i="1"/>
  <c r="E1508" i="1"/>
  <c r="H1507" i="1"/>
  <c r="G1507" i="1"/>
  <c r="F1507" i="1"/>
  <c r="E1507" i="1"/>
  <c r="H1506" i="1"/>
  <c r="G1506" i="1"/>
  <c r="F1506" i="1"/>
  <c r="E1506" i="1"/>
  <c r="H1505" i="1"/>
  <c r="G1505" i="1"/>
  <c r="F1505" i="1"/>
  <c r="E1505" i="1"/>
  <c r="H1504" i="1"/>
  <c r="G1504" i="1"/>
  <c r="F1504" i="1"/>
  <c r="E1504" i="1"/>
  <c r="H1503" i="1"/>
  <c r="G1503" i="1"/>
  <c r="F1503" i="1"/>
  <c r="E1503" i="1"/>
  <c r="H1502" i="1"/>
  <c r="G1502" i="1"/>
  <c r="F1502" i="1"/>
  <c r="E1502" i="1"/>
  <c r="H1501" i="1"/>
  <c r="G1501" i="1"/>
  <c r="F1501" i="1"/>
  <c r="E1501" i="1"/>
  <c r="H1500" i="1"/>
  <c r="G1500" i="1"/>
  <c r="F1500" i="1"/>
  <c r="E1500" i="1"/>
  <c r="H1499" i="1"/>
  <c r="G1499" i="1"/>
  <c r="F1499" i="1"/>
  <c r="E1499" i="1"/>
  <c r="H1498" i="1"/>
  <c r="G1498" i="1"/>
  <c r="F1498" i="1"/>
  <c r="E1498" i="1"/>
  <c r="H1497" i="1"/>
  <c r="G1497" i="1"/>
  <c r="F1497" i="1"/>
  <c r="E1497" i="1"/>
  <c r="H1496" i="1"/>
  <c r="G1496" i="1"/>
  <c r="F1496" i="1"/>
  <c r="E1496" i="1"/>
  <c r="H1495" i="1"/>
  <c r="G1495" i="1"/>
  <c r="F1495" i="1"/>
  <c r="E1495" i="1"/>
  <c r="H1494" i="1"/>
  <c r="G1494" i="1"/>
  <c r="F1494" i="1"/>
  <c r="E1494" i="1"/>
  <c r="H1493" i="1"/>
  <c r="G1493" i="1"/>
  <c r="F1493" i="1"/>
  <c r="E1493" i="1"/>
  <c r="H1492" i="1"/>
  <c r="G1492" i="1"/>
  <c r="F1492" i="1"/>
  <c r="E1492" i="1"/>
  <c r="H1491" i="1"/>
  <c r="G1491" i="1"/>
  <c r="F1491" i="1"/>
  <c r="E1491" i="1"/>
  <c r="H1490" i="1"/>
  <c r="G1490" i="1"/>
  <c r="F1490" i="1"/>
  <c r="E1490" i="1"/>
  <c r="H1489" i="1"/>
  <c r="G1489" i="1"/>
  <c r="F1489" i="1"/>
  <c r="E1489" i="1"/>
  <c r="H1488" i="1"/>
  <c r="G1488" i="1"/>
  <c r="F1488" i="1"/>
  <c r="E1488" i="1"/>
  <c r="H1487" i="1"/>
  <c r="G1487" i="1"/>
  <c r="F1487" i="1"/>
  <c r="E1487" i="1"/>
  <c r="H1486" i="1"/>
  <c r="G1486" i="1"/>
  <c r="F1486" i="1"/>
  <c r="E1486" i="1"/>
  <c r="H1485" i="1"/>
  <c r="G1485" i="1"/>
  <c r="F1485" i="1"/>
  <c r="E1485" i="1"/>
  <c r="H1484" i="1"/>
  <c r="G1484" i="1"/>
  <c r="F1484" i="1"/>
  <c r="E1484" i="1"/>
  <c r="H1483" i="1"/>
  <c r="G1483" i="1"/>
  <c r="F1483" i="1"/>
  <c r="E1483" i="1"/>
  <c r="H1482" i="1"/>
  <c r="G1482" i="1"/>
  <c r="F1482" i="1"/>
  <c r="E1482" i="1"/>
  <c r="H1481" i="1"/>
  <c r="G1481" i="1"/>
  <c r="F1481" i="1"/>
  <c r="E1481" i="1"/>
  <c r="H1480" i="1"/>
  <c r="G1480" i="1"/>
  <c r="F1480" i="1"/>
  <c r="E1480" i="1"/>
  <c r="H1479" i="1"/>
  <c r="G1479" i="1"/>
  <c r="F1479" i="1"/>
  <c r="E1479" i="1"/>
  <c r="H1478" i="1"/>
  <c r="G1478" i="1"/>
  <c r="F1478" i="1"/>
  <c r="E1478" i="1"/>
  <c r="H1477" i="1"/>
  <c r="G1477" i="1"/>
  <c r="F1477" i="1"/>
  <c r="E1477" i="1"/>
  <c r="H1476" i="1"/>
  <c r="G1476" i="1"/>
  <c r="F1476" i="1"/>
  <c r="E1476" i="1"/>
  <c r="H1475" i="1"/>
  <c r="G1475" i="1"/>
  <c r="F1475" i="1"/>
  <c r="E1475" i="1"/>
  <c r="H1474" i="1"/>
  <c r="G1474" i="1"/>
  <c r="F1474" i="1"/>
  <c r="E1474" i="1"/>
  <c r="H1473" i="1"/>
  <c r="G1473" i="1"/>
  <c r="F1473" i="1"/>
  <c r="E1473" i="1"/>
  <c r="H1472" i="1"/>
  <c r="G1472" i="1"/>
  <c r="F1472" i="1"/>
  <c r="E1472" i="1"/>
  <c r="H1471" i="1"/>
  <c r="G1471" i="1"/>
  <c r="F1471" i="1"/>
  <c r="E1471" i="1"/>
  <c r="H1470" i="1"/>
  <c r="G1470" i="1"/>
  <c r="F1470" i="1"/>
  <c r="E1470" i="1"/>
  <c r="H1469" i="1"/>
  <c r="G1469" i="1"/>
  <c r="F1469" i="1"/>
  <c r="E1469" i="1"/>
  <c r="H1468" i="1"/>
  <c r="G1468" i="1"/>
  <c r="F1468" i="1"/>
  <c r="E1468" i="1"/>
  <c r="H1467" i="1"/>
  <c r="G1467" i="1"/>
  <c r="F1467" i="1"/>
  <c r="E1467" i="1"/>
  <c r="H1466" i="1"/>
  <c r="G1466" i="1"/>
  <c r="F1466" i="1"/>
  <c r="E1466" i="1"/>
  <c r="H1465" i="1"/>
  <c r="G1465" i="1"/>
  <c r="F1465" i="1"/>
  <c r="E1465" i="1"/>
  <c r="H1464" i="1"/>
  <c r="G1464" i="1"/>
  <c r="F1464" i="1"/>
  <c r="E1464" i="1"/>
  <c r="H1463" i="1"/>
  <c r="G1463" i="1"/>
  <c r="F1463" i="1"/>
  <c r="E1463" i="1"/>
  <c r="H1462" i="1"/>
  <c r="G1462" i="1"/>
  <c r="F1462" i="1"/>
  <c r="E1462" i="1"/>
  <c r="H1461" i="1"/>
  <c r="G1461" i="1"/>
  <c r="F1461" i="1"/>
  <c r="E1461" i="1"/>
  <c r="H1460" i="1"/>
  <c r="G1460" i="1"/>
  <c r="F1460" i="1"/>
  <c r="E1460" i="1"/>
  <c r="H1459" i="1"/>
  <c r="G1459" i="1"/>
  <c r="F1459" i="1"/>
  <c r="E1459" i="1"/>
  <c r="H1458" i="1"/>
  <c r="G1458" i="1"/>
  <c r="F1458" i="1"/>
  <c r="E1458" i="1"/>
  <c r="H1457" i="1"/>
  <c r="G1457" i="1"/>
  <c r="F1457" i="1"/>
  <c r="E1457" i="1"/>
  <c r="H1456" i="1"/>
  <c r="G1456" i="1"/>
  <c r="F1456" i="1"/>
  <c r="E1456" i="1"/>
  <c r="H1455" i="1"/>
  <c r="G1455" i="1"/>
  <c r="F1455" i="1"/>
  <c r="E1455" i="1"/>
  <c r="H1454" i="1"/>
  <c r="G1454" i="1"/>
  <c r="F1454" i="1"/>
  <c r="E1454" i="1"/>
  <c r="H1453" i="1"/>
  <c r="G1453" i="1"/>
  <c r="F1453" i="1"/>
  <c r="E1453" i="1"/>
  <c r="H1452" i="1"/>
  <c r="G1452" i="1"/>
  <c r="F1452" i="1"/>
  <c r="E1452" i="1"/>
  <c r="H1451" i="1"/>
  <c r="G1451" i="1"/>
  <c r="F1451" i="1"/>
  <c r="E1451" i="1"/>
  <c r="H1450" i="1"/>
  <c r="G1450" i="1"/>
  <c r="F1450" i="1"/>
  <c r="E1450" i="1"/>
  <c r="H1449" i="1"/>
  <c r="G1449" i="1"/>
  <c r="F1449" i="1"/>
  <c r="E1449" i="1"/>
  <c r="H1448" i="1"/>
  <c r="G1448" i="1"/>
  <c r="F1448" i="1"/>
  <c r="E1448" i="1"/>
  <c r="H1447" i="1"/>
  <c r="G1447" i="1"/>
  <c r="F1447" i="1"/>
  <c r="E1447" i="1"/>
  <c r="H1446" i="1"/>
  <c r="G1446" i="1"/>
  <c r="F1446" i="1"/>
  <c r="E1446" i="1"/>
  <c r="H1445" i="1"/>
  <c r="G1445" i="1"/>
  <c r="F1445" i="1"/>
  <c r="E1445" i="1"/>
  <c r="H1444" i="1"/>
  <c r="G1444" i="1"/>
  <c r="F1444" i="1"/>
  <c r="E1444" i="1"/>
  <c r="H1443" i="1"/>
  <c r="G1443" i="1"/>
  <c r="F1443" i="1"/>
  <c r="E1443" i="1"/>
  <c r="H1442" i="1"/>
  <c r="G1442" i="1"/>
  <c r="F1442" i="1"/>
  <c r="E1442" i="1"/>
  <c r="H1441" i="1"/>
  <c r="G1441" i="1"/>
  <c r="F1441" i="1"/>
  <c r="E1441" i="1"/>
  <c r="H1440" i="1"/>
  <c r="G1440" i="1"/>
  <c r="F1440" i="1"/>
  <c r="E1440" i="1"/>
  <c r="H1439" i="1"/>
  <c r="G1439" i="1"/>
  <c r="F1439" i="1"/>
  <c r="E1439" i="1"/>
  <c r="H1438" i="1"/>
  <c r="G1438" i="1"/>
  <c r="F1438" i="1"/>
  <c r="E1438" i="1"/>
  <c r="H1437" i="1"/>
  <c r="G1437" i="1"/>
  <c r="F1437" i="1"/>
  <c r="E1437" i="1"/>
  <c r="H1436" i="1"/>
  <c r="G1436" i="1"/>
  <c r="F1436" i="1"/>
  <c r="E1436" i="1"/>
  <c r="H1435" i="1"/>
  <c r="G1435" i="1"/>
  <c r="F1435" i="1"/>
  <c r="E1435" i="1"/>
  <c r="H1434" i="1"/>
  <c r="G1434" i="1"/>
  <c r="F1434" i="1"/>
  <c r="E1434" i="1"/>
  <c r="H1433" i="1"/>
  <c r="G1433" i="1"/>
  <c r="F1433" i="1"/>
  <c r="E1433" i="1"/>
  <c r="H1432" i="1"/>
  <c r="G1432" i="1"/>
  <c r="F1432" i="1"/>
  <c r="E1432" i="1"/>
  <c r="H1431" i="1"/>
  <c r="G1431" i="1"/>
  <c r="F1431" i="1"/>
  <c r="E1431" i="1"/>
  <c r="H1430" i="1"/>
  <c r="G1430" i="1"/>
  <c r="F1430" i="1"/>
  <c r="E1430" i="1"/>
  <c r="H1429" i="1"/>
  <c r="G1429" i="1"/>
  <c r="F1429" i="1"/>
  <c r="E1429" i="1"/>
  <c r="H1428" i="1"/>
  <c r="G1428" i="1"/>
  <c r="F1428" i="1"/>
  <c r="E1428" i="1"/>
  <c r="H1427" i="1"/>
  <c r="G1427" i="1"/>
  <c r="F1427" i="1"/>
  <c r="E1427" i="1"/>
  <c r="H1426" i="1"/>
  <c r="G1426" i="1"/>
  <c r="F1426" i="1"/>
  <c r="E1426" i="1"/>
  <c r="H1425" i="1"/>
  <c r="G1425" i="1"/>
  <c r="F1425" i="1"/>
  <c r="E1425" i="1"/>
  <c r="H1424" i="1"/>
  <c r="G1424" i="1"/>
  <c r="F1424" i="1"/>
  <c r="E1424" i="1"/>
  <c r="H1423" i="1"/>
  <c r="G1423" i="1"/>
  <c r="F1423" i="1"/>
  <c r="E1423" i="1"/>
  <c r="H1422" i="1"/>
  <c r="G1422" i="1"/>
  <c r="F1422" i="1"/>
  <c r="E1422" i="1"/>
  <c r="H1421" i="1"/>
  <c r="G1421" i="1"/>
  <c r="F1421" i="1"/>
  <c r="E1421" i="1"/>
  <c r="H1420" i="1"/>
  <c r="G1420" i="1"/>
  <c r="F1420" i="1"/>
  <c r="E1420" i="1"/>
  <c r="H1419" i="1"/>
  <c r="G1419" i="1"/>
  <c r="F1419" i="1"/>
  <c r="E1419" i="1"/>
  <c r="H1418" i="1"/>
  <c r="G1418" i="1"/>
  <c r="F1418" i="1"/>
  <c r="E1418" i="1"/>
  <c r="H1417" i="1"/>
  <c r="G1417" i="1"/>
  <c r="F1417" i="1"/>
  <c r="E1417" i="1"/>
  <c r="H1416" i="1"/>
  <c r="G1416" i="1"/>
  <c r="F1416" i="1"/>
  <c r="E1416" i="1"/>
  <c r="H1415" i="1"/>
  <c r="G1415" i="1"/>
  <c r="F1415" i="1"/>
  <c r="E1415" i="1"/>
  <c r="H1414" i="1"/>
  <c r="G1414" i="1"/>
  <c r="F1414" i="1"/>
  <c r="E1414" i="1"/>
  <c r="H1413" i="1"/>
  <c r="G1413" i="1"/>
  <c r="F1413" i="1"/>
  <c r="E1413" i="1"/>
  <c r="H1412" i="1"/>
  <c r="G1412" i="1"/>
  <c r="F1412" i="1"/>
  <c r="E1412" i="1"/>
  <c r="H1411" i="1"/>
  <c r="G1411" i="1"/>
  <c r="F1411" i="1"/>
  <c r="E1411" i="1"/>
  <c r="H1410" i="1"/>
  <c r="G1410" i="1"/>
  <c r="F1410" i="1"/>
  <c r="E1410" i="1"/>
  <c r="H1409" i="1"/>
  <c r="G1409" i="1"/>
  <c r="F1409" i="1"/>
  <c r="E1409" i="1"/>
  <c r="H1408" i="1"/>
  <c r="G1408" i="1"/>
  <c r="F1408" i="1"/>
  <c r="E1408" i="1"/>
  <c r="H1407" i="1"/>
  <c r="G1407" i="1"/>
  <c r="F1407" i="1"/>
  <c r="E1407" i="1"/>
  <c r="H1406" i="1"/>
  <c r="G1406" i="1"/>
  <c r="F1406" i="1"/>
  <c r="E1406" i="1"/>
  <c r="H1405" i="1"/>
  <c r="G1405" i="1"/>
  <c r="F1405" i="1"/>
  <c r="E1405" i="1"/>
  <c r="H1404" i="1"/>
  <c r="G1404" i="1"/>
  <c r="F1404" i="1"/>
  <c r="E1404" i="1"/>
  <c r="H1403" i="1"/>
  <c r="G1403" i="1"/>
  <c r="F1403" i="1"/>
  <c r="E1403" i="1"/>
  <c r="H1402" i="1"/>
  <c r="G1402" i="1"/>
  <c r="F1402" i="1"/>
  <c r="E1402" i="1"/>
  <c r="H1401" i="1"/>
  <c r="G1401" i="1"/>
  <c r="F1401" i="1"/>
  <c r="E1401" i="1"/>
  <c r="H1400" i="1"/>
  <c r="G1400" i="1"/>
  <c r="F1400" i="1"/>
  <c r="E1400" i="1"/>
  <c r="H1399" i="1"/>
  <c r="G1399" i="1"/>
  <c r="F1399" i="1"/>
  <c r="E1399" i="1"/>
  <c r="H1398" i="1"/>
  <c r="G1398" i="1"/>
  <c r="F1398" i="1"/>
  <c r="E1398" i="1"/>
  <c r="H1397" i="1"/>
  <c r="G1397" i="1"/>
  <c r="F1397" i="1"/>
  <c r="E1397" i="1"/>
  <c r="H1396" i="1"/>
  <c r="G1396" i="1"/>
  <c r="F1396" i="1"/>
  <c r="E1396" i="1"/>
  <c r="H1395" i="1"/>
  <c r="G1395" i="1"/>
  <c r="F1395" i="1"/>
  <c r="E1395" i="1"/>
  <c r="H1394" i="1"/>
  <c r="G1394" i="1"/>
  <c r="F1394" i="1"/>
  <c r="E1394" i="1"/>
  <c r="H1393" i="1"/>
  <c r="G1393" i="1"/>
  <c r="F1393" i="1"/>
  <c r="E1393" i="1"/>
  <c r="H1392" i="1"/>
  <c r="G1392" i="1"/>
  <c r="F1392" i="1"/>
  <c r="E1392" i="1"/>
  <c r="H1391" i="1"/>
  <c r="G1391" i="1"/>
  <c r="F1391" i="1"/>
  <c r="E1391" i="1"/>
  <c r="H1390" i="1"/>
  <c r="G1390" i="1"/>
  <c r="F1390" i="1"/>
  <c r="E1390" i="1"/>
  <c r="H1389" i="1"/>
  <c r="G1389" i="1"/>
  <c r="F1389" i="1"/>
  <c r="E1389" i="1"/>
  <c r="H1388" i="1"/>
  <c r="G1388" i="1"/>
  <c r="F1388" i="1"/>
  <c r="E1388" i="1"/>
  <c r="H1387" i="1"/>
  <c r="G1387" i="1"/>
  <c r="F1387" i="1"/>
  <c r="E1387" i="1"/>
  <c r="H1386" i="1"/>
  <c r="G1386" i="1"/>
  <c r="F1386" i="1"/>
  <c r="E1386" i="1"/>
  <c r="H1385" i="1"/>
  <c r="G1385" i="1"/>
  <c r="F1385" i="1"/>
  <c r="E1385" i="1"/>
  <c r="H1384" i="1"/>
  <c r="G1384" i="1"/>
  <c r="F1384" i="1"/>
  <c r="E1384" i="1"/>
  <c r="H1383" i="1"/>
  <c r="G1383" i="1"/>
  <c r="F1383" i="1"/>
  <c r="E1383" i="1"/>
  <c r="H1382" i="1"/>
  <c r="G1382" i="1"/>
  <c r="F1382" i="1"/>
  <c r="E1382" i="1"/>
  <c r="H1381" i="1"/>
  <c r="G1381" i="1"/>
  <c r="F1381" i="1"/>
  <c r="E1381" i="1"/>
  <c r="H1380" i="1"/>
  <c r="G1380" i="1"/>
  <c r="F1380" i="1"/>
  <c r="E1380" i="1"/>
  <c r="H1379" i="1"/>
  <c r="G1379" i="1"/>
  <c r="F1379" i="1"/>
  <c r="E1379" i="1"/>
  <c r="H1378" i="1"/>
  <c r="G1378" i="1"/>
  <c r="F1378" i="1"/>
  <c r="E1378" i="1"/>
  <c r="H1377" i="1"/>
  <c r="G1377" i="1"/>
  <c r="F1377" i="1"/>
  <c r="E1377" i="1"/>
  <c r="H1376" i="1"/>
  <c r="G1376" i="1"/>
  <c r="F1376" i="1"/>
  <c r="E1376" i="1"/>
  <c r="H1375" i="1"/>
  <c r="G1375" i="1"/>
  <c r="F1375" i="1"/>
  <c r="E1375" i="1"/>
  <c r="H1374" i="1"/>
  <c r="G1374" i="1"/>
  <c r="F1374" i="1"/>
  <c r="E1374" i="1"/>
  <c r="H1373" i="1"/>
  <c r="G1373" i="1"/>
  <c r="F1373" i="1"/>
  <c r="E1373" i="1"/>
  <c r="H1372" i="1"/>
  <c r="G1372" i="1"/>
  <c r="F1372" i="1"/>
  <c r="E1372" i="1"/>
  <c r="H1371" i="1"/>
  <c r="G1371" i="1"/>
  <c r="F1371" i="1"/>
  <c r="E1371" i="1"/>
  <c r="H1370" i="1"/>
  <c r="G1370" i="1"/>
  <c r="F1370" i="1"/>
  <c r="E1370" i="1"/>
  <c r="H1369" i="1"/>
  <c r="G1369" i="1"/>
  <c r="F1369" i="1"/>
  <c r="E1369" i="1"/>
  <c r="H1368" i="1"/>
  <c r="G1368" i="1"/>
  <c r="F1368" i="1"/>
  <c r="E1368" i="1"/>
  <c r="H1367" i="1"/>
  <c r="G1367" i="1"/>
  <c r="F1367" i="1"/>
  <c r="E1367" i="1"/>
  <c r="H1366" i="1"/>
  <c r="G1366" i="1"/>
  <c r="F1366" i="1"/>
  <c r="E1366" i="1"/>
  <c r="H1365" i="1"/>
  <c r="G1365" i="1"/>
  <c r="F1365" i="1"/>
  <c r="E1365" i="1"/>
  <c r="H1364" i="1"/>
  <c r="G1364" i="1"/>
  <c r="F1364" i="1"/>
  <c r="E1364" i="1"/>
  <c r="H1363" i="1"/>
  <c r="G1363" i="1"/>
  <c r="F1363" i="1"/>
  <c r="E1363" i="1"/>
  <c r="H1362" i="1"/>
  <c r="G1362" i="1"/>
  <c r="F1362" i="1"/>
  <c r="E1362" i="1"/>
  <c r="H1361" i="1"/>
  <c r="G1361" i="1"/>
  <c r="F1361" i="1"/>
  <c r="E1361" i="1"/>
  <c r="H1360" i="1"/>
  <c r="G1360" i="1"/>
  <c r="F1360" i="1"/>
  <c r="E1360" i="1"/>
  <c r="H1359" i="1"/>
  <c r="G1359" i="1"/>
  <c r="F1359" i="1"/>
  <c r="E1359" i="1"/>
  <c r="H1358" i="1"/>
  <c r="G1358" i="1"/>
  <c r="F1358" i="1"/>
  <c r="E1358" i="1"/>
  <c r="H1357" i="1"/>
  <c r="G1357" i="1"/>
  <c r="F1357" i="1"/>
  <c r="E1357" i="1"/>
  <c r="H1356" i="1"/>
  <c r="G1356" i="1"/>
  <c r="F1356" i="1"/>
  <c r="E1356" i="1"/>
  <c r="H1355" i="1"/>
  <c r="G1355" i="1"/>
  <c r="F1355" i="1"/>
  <c r="E1355" i="1"/>
  <c r="H1354" i="1"/>
  <c r="G1354" i="1"/>
  <c r="F1354" i="1"/>
  <c r="E1354" i="1"/>
  <c r="H1353" i="1"/>
  <c r="G1353" i="1"/>
  <c r="F1353" i="1"/>
  <c r="E1353" i="1"/>
  <c r="H1352" i="1"/>
  <c r="G1352" i="1"/>
  <c r="F1352" i="1"/>
  <c r="E1352" i="1"/>
  <c r="H1351" i="1"/>
  <c r="G1351" i="1"/>
  <c r="F1351" i="1"/>
  <c r="E1351" i="1"/>
  <c r="H1350" i="1"/>
  <c r="G1350" i="1"/>
  <c r="F1350" i="1"/>
  <c r="E1350" i="1"/>
  <c r="H1349" i="1"/>
  <c r="G1349" i="1"/>
  <c r="F1349" i="1"/>
  <c r="E1349" i="1"/>
  <c r="H1348" i="1"/>
  <c r="G1348" i="1"/>
  <c r="F1348" i="1"/>
  <c r="E1348" i="1"/>
  <c r="H1347" i="1"/>
  <c r="G1347" i="1"/>
  <c r="F1347" i="1"/>
  <c r="E1347" i="1"/>
  <c r="H1346" i="1"/>
  <c r="G1346" i="1"/>
  <c r="F1346" i="1"/>
  <c r="E1346" i="1"/>
  <c r="H1345" i="1"/>
  <c r="G1345" i="1"/>
  <c r="F1345" i="1"/>
  <c r="E1345" i="1"/>
  <c r="H1344" i="1"/>
  <c r="G1344" i="1"/>
  <c r="F1344" i="1"/>
  <c r="E1344" i="1"/>
  <c r="H1343" i="1"/>
  <c r="G1343" i="1"/>
  <c r="F1343" i="1"/>
  <c r="E1343" i="1"/>
  <c r="H1342" i="1"/>
  <c r="G1342" i="1"/>
  <c r="F1342" i="1"/>
  <c r="E1342" i="1"/>
  <c r="H1341" i="1"/>
  <c r="G1341" i="1"/>
  <c r="F1341" i="1"/>
  <c r="E1341" i="1"/>
  <c r="H1340" i="1"/>
  <c r="G1340" i="1"/>
  <c r="F1340" i="1"/>
  <c r="E1340" i="1"/>
  <c r="H1339" i="1"/>
  <c r="G1339" i="1"/>
  <c r="F1339" i="1"/>
  <c r="E1339" i="1"/>
  <c r="H1338" i="1"/>
  <c r="G1338" i="1"/>
  <c r="F1338" i="1"/>
  <c r="E1338" i="1"/>
  <c r="H1337" i="1"/>
  <c r="G1337" i="1"/>
  <c r="F1337" i="1"/>
  <c r="E1337" i="1"/>
  <c r="H1336" i="1"/>
  <c r="G1336" i="1"/>
  <c r="F1336" i="1"/>
  <c r="E1336" i="1"/>
  <c r="H1335" i="1"/>
  <c r="G1335" i="1"/>
  <c r="F1335" i="1"/>
  <c r="E1335" i="1"/>
  <c r="H1334" i="1"/>
  <c r="G1334" i="1"/>
  <c r="F1334" i="1"/>
  <c r="E1334" i="1"/>
  <c r="H1333" i="1"/>
  <c r="G1333" i="1"/>
  <c r="F1333" i="1"/>
  <c r="E1333" i="1"/>
  <c r="H1332" i="1"/>
  <c r="G1332" i="1"/>
  <c r="F1332" i="1"/>
  <c r="E1332" i="1"/>
  <c r="H1331" i="1"/>
  <c r="G1331" i="1"/>
  <c r="F1331" i="1"/>
  <c r="E1331" i="1"/>
  <c r="H1330" i="1"/>
  <c r="G1330" i="1"/>
  <c r="F1330" i="1"/>
  <c r="E1330" i="1"/>
  <c r="H1329" i="1"/>
  <c r="G1329" i="1"/>
  <c r="F1329" i="1"/>
  <c r="E1329" i="1"/>
  <c r="H1328" i="1"/>
  <c r="G1328" i="1"/>
  <c r="F1328" i="1"/>
  <c r="E1328" i="1"/>
  <c r="H1327" i="1"/>
  <c r="G1327" i="1"/>
  <c r="F1327" i="1"/>
  <c r="E1327" i="1"/>
  <c r="H1326" i="1"/>
  <c r="G1326" i="1"/>
  <c r="F1326" i="1"/>
  <c r="E1326" i="1"/>
  <c r="H1325" i="1"/>
  <c r="G1325" i="1"/>
  <c r="F1325" i="1"/>
  <c r="E1325" i="1"/>
  <c r="H1324" i="1"/>
  <c r="G1324" i="1"/>
  <c r="F1324" i="1"/>
  <c r="E1324" i="1"/>
  <c r="H1323" i="1"/>
  <c r="G1323" i="1"/>
  <c r="F1323" i="1"/>
  <c r="E1323" i="1"/>
  <c r="H1322" i="1"/>
  <c r="G1322" i="1"/>
  <c r="F1322" i="1"/>
  <c r="E1322" i="1"/>
  <c r="H1321" i="1"/>
  <c r="G1321" i="1"/>
  <c r="F1321" i="1"/>
  <c r="E1321" i="1"/>
  <c r="H1320" i="1"/>
  <c r="G1320" i="1"/>
  <c r="F1320" i="1"/>
  <c r="E1320" i="1"/>
  <c r="H1319" i="1"/>
  <c r="G1319" i="1"/>
  <c r="F1319" i="1"/>
  <c r="E1319" i="1"/>
  <c r="H1318" i="1"/>
  <c r="G1318" i="1"/>
  <c r="F1318" i="1"/>
  <c r="E1318" i="1"/>
  <c r="H1317" i="1"/>
  <c r="G1317" i="1"/>
  <c r="F1317" i="1"/>
  <c r="E1317" i="1"/>
  <c r="H1316" i="1"/>
  <c r="G1316" i="1"/>
  <c r="F1316" i="1"/>
  <c r="E1316" i="1"/>
  <c r="H1315" i="1"/>
  <c r="G1315" i="1"/>
  <c r="F1315" i="1"/>
  <c r="E1315" i="1"/>
  <c r="H1314" i="1"/>
  <c r="G1314" i="1"/>
  <c r="F1314" i="1"/>
  <c r="E1314" i="1"/>
  <c r="H1313" i="1"/>
  <c r="G1313" i="1"/>
  <c r="F1313" i="1"/>
  <c r="E1313" i="1"/>
  <c r="H1312" i="1"/>
  <c r="G1312" i="1"/>
  <c r="F1312" i="1"/>
  <c r="E1312" i="1"/>
  <c r="H1311" i="1"/>
  <c r="G1311" i="1"/>
  <c r="F1311" i="1"/>
  <c r="E1311" i="1"/>
  <c r="H1310" i="1"/>
  <c r="G1310" i="1"/>
  <c r="F1310" i="1"/>
  <c r="E1310" i="1"/>
  <c r="H1309" i="1"/>
  <c r="G1309" i="1"/>
  <c r="F1309" i="1"/>
  <c r="E1309" i="1"/>
  <c r="H1308" i="1"/>
  <c r="G1308" i="1"/>
  <c r="F1308" i="1"/>
  <c r="E1308" i="1"/>
  <c r="H1307" i="1"/>
  <c r="G1307" i="1"/>
  <c r="F1307" i="1"/>
  <c r="E1307" i="1"/>
  <c r="H1306" i="1"/>
  <c r="G1306" i="1"/>
  <c r="F1306" i="1"/>
  <c r="E1306" i="1"/>
  <c r="H1305" i="1"/>
  <c r="G1305" i="1"/>
  <c r="F1305" i="1"/>
  <c r="E1305" i="1"/>
  <c r="H1304" i="1"/>
  <c r="G1304" i="1"/>
  <c r="F1304" i="1"/>
  <c r="E1304" i="1"/>
  <c r="H1303" i="1"/>
  <c r="G1303" i="1"/>
  <c r="F1303" i="1"/>
  <c r="E1303" i="1"/>
  <c r="H1302" i="1"/>
  <c r="G1302" i="1"/>
  <c r="F1302" i="1"/>
  <c r="E1302" i="1"/>
  <c r="H1301" i="1"/>
  <c r="G1301" i="1"/>
  <c r="F1301" i="1"/>
  <c r="E1301" i="1"/>
  <c r="H1300" i="1"/>
  <c r="G1300" i="1"/>
  <c r="F1300" i="1"/>
  <c r="E1300" i="1"/>
  <c r="H1299" i="1"/>
  <c r="G1299" i="1"/>
  <c r="F1299" i="1"/>
  <c r="E1299" i="1"/>
  <c r="H1298" i="1"/>
  <c r="G1298" i="1"/>
  <c r="F1298" i="1"/>
  <c r="E1298" i="1"/>
  <c r="H1297" i="1"/>
  <c r="G1297" i="1"/>
  <c r="F1297" i="1"/>
  <c r="E1297" i="1"/>
  <c r="H1296" i="1"/>
  <c r="G1296" i="1"/>
  <c r="F1296" i="1"/>
  <c r="E1296" i="1"/>
  <c r="H1295" i="1"/>
  <c r="G1295" i="1"/>
  <c r="F1295" i="1"/>
  <c r="E1295" i="1"/>
  <c r="H1294" i="1"/>
  <c r="G1294" i="1"/>
  <c r="F1294" i="1"/>
  <c r="E1294" i="1"/>
  <c r="H1293" i="1"/>
  <c r="G1293" i="1"/>
  <c r="F1293" i="1"/>
  <c r="E1293" i="1"/>
  <c r="H1292" i="1"/>
  <c r="G1292" i="1"/>
  <c r="F1292" i="1"/>
  <c r="E1292" i="1"/>
  <c r="H1291" i="1"/>
  <c r="G1291" i="1"/>
  <c r="F1291" i="1"/>
  <c r="E1291" i="1"/>
  <c r="H1290" i="1"/>
  <c r="G1290" i="1"/>
  <c r="F1290" i="1"/>
  <c r="E1290" i="1"/>
  <c r="H1289" i="1"/>
  <c r="G1289" i="1"/>
  <c r="F1289" i="1"/>
  <c r="E1289" i="1"/>
  <c r="H1288" i="1"/>
  <c r="G1288" i="1"/>
  <c r="F1288" i="1"/>
  <c r="E1288" i="1"/>
  <c r="H1287" i="1"/>
  <c r="G1287" i="1"/>
  <c r="F1287" i="1"/>
  <c r="E1287" i="1"/>
  <c r="H1286" i="1"/>
  <c r="G1286" i="1"/>
  <c r="F1286" i="1"/>
  <c r="E1286" i="1"/>
  <c r="H1285" i="1"/>
  <c r="G1285" i="1"/>
  <c r="F1285" i="1"/>
  <c r="E1285" i="1"/>
  <c r="H1284" i="1"/>
  <c r="G1284" i="1"/>
  <c r="F1284" i="1"/>
  <c r="E1284" i="1"/>
  <c r="H1283" i="1"/>
  <c r="G1283" i="1"/>
  <c r="F1283" i="1"/>
  <c r="E1283" i="1"/>
  <c r="H1282" i="1"/>
  <c r="G1282" i="1"/>
  <c r="F1282" i="1"/>
  <c r="E1282" i="1"/>
  <c r="H1281" i="1"/>
  <c r="G1281" i="1"/>
  <c r="F1281" i="1"/>
  <c r="E1281" i="1"/>
  <c r="H1280" i="1"/>
  <c r="G1280" i="1"/>
  <c r="F1280" i="1"/>
  <c r="E1280" i="1"/>
  <c r="H1279" i="1"/>
  <c r="G1279" i="1"/>
  <c r="F1279" i="1"/>
  <c r="E1279" i="1"/>
  <c r="H1278" i="1"/>
  <c r="G1278" i="1"/>
  <c r="F1278" i="1"/>
  <c r="E1278" i="1"/>
  <c r="H1277" i="1"/>
  <c r="G1277" i="1"/>
  <c r="F1277" i="1"/>
  <c r="E1277" i="1"/>
  <c r="H1276" i="1"/>
  <c r="G1276" i="1"/>
  <c r="F1276" i="1"/>
  <c r="E1276" i="1"/>
  <c r="H1275" i="1"/>
  <c r="G1275" i="1"/>
  <c r="F1275" i="1"/>
  <c r="E1275" i="1"/>
  <c r="H1274" i="1"/>
  <c r="G1274" i="1"/>
  <c r="F1274" i="1"/>
  <c r="E1274" i="1"/>
  <c r="H1273" i="1"/>
  <c r="G1273" i="1"/>
  <c r="F1273" i="1"/>
  <c r="E1273" i="1"/>
  <c r="H1272" i="1"/>
  <c r="G1272" i="1"/>
  <c r="F1272" i="1"/>
  <c r="E1272" i="1"/>
  <c r="H1271" i="1"/>
  <c r="G1271" i="1"/>
  <c r="F1271" i="1"/>
  <c r="E1271" i="1"/>
  <c r="H1270" i="1"/>
  <c r="G1270" i="1"/>
  <c r="F1270" i="1"/>
  <c r="E1270" i="1"/>
  <c r="H1269" i="1"/>
  <c r="G1269" i="1"/>
  <c r="F1269" i="1"/>
  <c r="E1269" i="1"/>
  <c r="H1268" i="1"/>
  <c r="G1268" i="1"/>
  <c r="F1268" i="1"/>
  <c r="E1268" i="1"/>
  <c r="H1267" i="1"/>
  <c r="G1267" i="1"/>
  <c r="F1267" i="1"/>
  <c r="E1267" i="1"/>
  <c r="H1266" i="1"/>
  <c r="G1266" i="1"/>
  <c r="F1266" i="1"/>
  <c r="E1266" i="1"/>
  <c r="H1265" i="1"/>
  <c r="G1265" i="1"/>
  <c r="F1265" i="1"/>
  <c r="E1265" i="1"/>
  <c r="H1264" i="1"/>
  <c r="G1264" i="1"/>
  <c r="F1264" i="1"/>
  <c r="E1264" i="1"/>
  <c r="H1263" i="1"/>
  <c r="G1263" i="1"/>
  <c r="F1263" i="1"/>
  <c r="E1263" i="1"/>
  <c r="H1262" i="1"/>
  <c r="G1262" i="1"/>
  <c r="F1262" i="1"/>
  <c r="E1262" i="1"/>
  <c r="H1261" i="1"/>
  <c r="G1261" i="1"/>
  <c r="F1261" i="1"/>
  <c r="E1261" i="1"/>
  <c r="H1260" i="1"/>
  <c r="G1260" i="1"/>
  <c r="F1260" i="1"/>
  <c r="E1260" i="1"/>
  <c r="H1259" i="1"/>
  <c r="G1259" i="1"/>
  <c r="F1259" i="1"/>
  <c r="E1259" i="1"/>
  <c r="H1258" i="1"/>
  <c r="G1258" i="1"/>
  <c r="F1258" i="1"/>
  <c r="E1258" i="1"/>
  <c r="H1257" i="1"/>
  <c r="G1257" i="1"/>
  <c r="F1257" i="1"/>
  <c r="E1257" i="1"/>
  <c r="H1256" i="1"/>
  <c r="G1256" i="1"/>
  <c r="F1256" i="1"/>
  <c r="E1256" i="1"/>
  <c r="H1255" i="1"/>
  <c r="G1255" i="1"/>
  <c r="F1255" i="1"/>
  <c r="E1255" i="1"/>
  <c r="H1254" i="1"/>
  <c r="G1254" i="1"/>
  <c r="F1254" i="1"/>
  <c r="E1254" i="1"/>
  <c r="H1253" i="1"/>
  <c r="G1253" i="1"/>
  <c r="F1253" i="1"/>
  <c r="E1253" i="1"/>
  <c r="H1252" i="1"/>
  <c r="G1252" i="1"/>
  <c r="F1252" i="1"/>
  <c r="E1252" i="1"/>
  <c r="H1251" i="1"/>
  <c r="G1251" i="1"/>
  <c r="F1251" i="1"/>
  <c r="E1251" i="1"/>
  <c r="H1250" i="1"/>
  <c r="G1250" i="1"/>
  <c r="F1250" i="1"/>
  <c r="E1250" i="1"/>
  <c r="H1249" i="1"/>
  <c r="G1249" i="1"/>
  <c r="F1249" i="1"/>
  <c r="E1249" i="1"/>
  <c r="H1248" i="1"/>
  <c r="G1248" i="1"/>
  <c r="F1248" i="1"/>
  <c r="E1248" i="1"/>
  <c r="H1247" i="1"/>
  <c r="G1247" i="1"/>
  <c r="F1247" i="1"/>
  <c r="E1247" i="1"/>
  <c r="H1246" i="1"/>
  <c r="G1246" i="1"/>
  <c r="F1246" i="1"/>
  <c r="E1246" i="1"/>
  <c r="H1245" i="1"/>
  <c r="G1245" i="1"/>
  <c r="F1245" i="1"/>
  <c r="E1245" i="1"/>
  <c r="H1244" i="1"/>
  <c r="G1244" i="1"/>
  <c r="F1244" i="1"/>
  <c r="E1244" i="1"/>
  <c r="H1243" i="1"/>
  <c r="G1243" i="1"/>
  <c r="F1243" i="1"/>
  <c r="E1243" i="1"/>
  <c r="H1242" i="1"/>
  <c r="G1242" i="1"/>
  <c r="F1242" i="1"/>
  <c r="E1242" i="1"/>
  <c r="H1241" i="1"/>
  <c r="G1241" i="1"/>
  <c r="F1241" i="1"/>
  <c r="E1241" i="1"/>
  <c r="H1240" i="1"/>
  <c r="G1240" i="1"/>
  <c r="F1240" i="1"/>
  <c r="E1240" i="1"/>
  <c r="H1239" i="1"/>
  <c r="G1239" i="1"/>
  <c r="F1239" i="1"/>
  <c r="E1239" i="1"/>
  <c r="H1238" i="1"/>
  <c r="G1238" i="1"/>
  <c r="F1238" i="1"/>
  <c r="E1238" i="1"/>
  <c r="H1237" i="1"/>
  <c r="G1237" i="1"/>
  <c r="F1237" i="1"/>
  <c r="E1237" i="1"/>
  <c r="H1236" i="1"/>
  <c r="G1236" i="1"/>
  <c r="F1236" i="1"/>
  <c r="E1236" i="1"/>
  <c r="H1235" i="1"/>
  <c r="G1235" i="1"/>
  <c r="F1235" i="1"/>
  <c r="E1235" i="1"/>
  <c r="H1234" i="1"/>
  <c r="G1234" i="1"/>
  <c r="F1234" i="1"/>
  <c r="E1234" i="1"/>
  <c r="H1233" i="1"/>
  <c r="G1233" i="1"/>
  <c r="F1233" i="1"/>
  <c r="E1233" i="1"/>
  <c r="H1232" i="1"/>
  <c r="G1232" i="1"/>
  <c r="F1232" i="1"/>
  <c r="E1232" i="1"/>
  <c r="H1231" i="1"/>
  <c r="G1231" i="1"/>
  <c r="F1231" i="1"/>
  <c r="E1231" i="1"/>
  <c r="H1230" i="1"/>
  <c r="G1230" i="1"/>
  <c r="F1230" i="1"/>
  <c r="E1230" i="1"/>
  <c r="H1229" i="1"/>
  <c r="G1229" i="1"/>
  <c r="F1229" i="1"/>
  <c r="E1229" i="1"/>
  <c r="H1228" i="1"/>
  <c r="G1228" i="1"/>
  <c r="F1228" i="1"/>
  <c r="E1228" i="1"/>
  <c r="H1227" i="1"/>
  <c r="G1227" i="1"/>
  <c r="F1227" i="1"/>
  <c r="E1227" i="1"/>
  <c r="H1226" i="1"/>
  <c r="G1226" i="1"/>
  <c r="F1226" i="1"/>
  <c r="E1226" i="1"/>
  <c r="H1225" i="1"/>
  <c r="G1225" i="1"/>
  <c r="F1225" i="1"/>
  <c r="E1225" i="1"/>
  <c r="H1224" i="1"/>
  <c r="G1224" i="1"/>
  <c r="F1224" i="1"/>
  <c r="E1224" i="1"/>
  <c r="H1223" i="1"/>
  <c r="G1223" i="1"/>
  <c r="F1223" i="1"/>
  <c r="E1223" i="1"/>
  <c r="H1222" i="1"/>
  <c r="G1222" i="1"/>
  <c r="F1222" i="1"/>
  <c r="E1222" i="1"/>
  <c r="H1221" i="1"/>
  <c r="G1221" i="1"/>
  <c r="F1221" i="1"/>
  <c r="E1221" i="1"/>
  <c r="H1220" i="1"/>
  <c r="G1220" i="1"/>
  <c r="F1220" i="1"/>
  <c r="E1220" i="1"/>
  <c r="H1219" i="1"/>
  <c r="G1219" i="1"/>
  <c r="F1219" i="1"/>
  <c r="E1219" i="1"/>
  <c r="H1218" i="1"/>
  <c r="G1218" i="1"/>
  <c r="F1218" i="1"/>
  <c r="E1218" i="1"/>
  <c r="H1217" i="1"/>
  <c r="G1217" i="1"/>
  <c r="F1217" i="1"/>
  <c r="E1217" i="1"/>
  <c r="H1216" i="1"/>
  <c r="G1216" i="1"/>
  <c r="F1216" i="1"/>
  <c r="E1216" i="1"/>
  <c r="H1215" i="1"/>
  <c r="G1215" i="1"/>
  <c r="F1215" i="1"/>
  <c r="E1215" i="1"/>
  <c r="H1214" i="1"/>
  <c r="G1214" i="1"/>
  <c r="F1214" i="1"/>
  <c r="E1214" i="1"/>
  <c r="H1213" i="1"/>
  <c r="G1213" i="1"/>
  <c r="F1213" i="1"/>
  <c r="E1213" i="1"/>
  <c r="H1212" i="1"/>
  <c r="G1212" i="1"/>
  <c r="F1212" i="1"/>
  <c r="E1212" i="1"/>
  <c r="H1211" i="1"/>
  <c r="G1211" i="1"/>
  <c r="F1211" i="1"/>
  <c r="E1211" i="1"/>
  <c r="H1210" i="1"/>
  <c r="G1210" i="1"/>
  <c r="F1210" i="1"/>
  <c r="E1210" i="1"/>
  <c r="H1209" i="1"/>
  <c r="G1209" i="1"/>
  <c r="F1209" i="1"/>
  <c r="E1209" i="1"/>
  <c r="H1208" i="1"/>
  <c r="G1208" i="1"/>
  <c r="F1208" i="1"/>
  <c r="E1208" i="1"/>
  <c r="H1207" i="1"/>
  <c r="G1207" i="1"/>
  <c r="F1207" i="1"/>
  <c r="E1207" i="1"/>
  <c r="H1206" i="1"/>
  <c r="G1206" i="1"/>
  <c r="F1206" i="1"/>
  <c r="E1206" i="1"/>
  <c r="H1205" i="1"/>
  <c r="G1205" i="1"/>
  <c r="F1205" i="1"/>
  <c r="E1205" i="1"/>
  <c r="H1204" i="1"/>
  <c r="G1204" i="1"/>
  <c r="F1204" i="1"/>
  <c r="E1204" i="1"/>
  <c r="H1203" i="1"/>
  <c r="G1203" i="1"/>
  <c r="F1203" i="1"/>
  <c r="E1203" i="1"/>
  <c r="H1202" i="1"/>
  <c r="G1202" i="1"/>
  <c r="F1202" i="1"/>
  <c r="E1202" i="1"/>
  <c r="H1201" i="1"/>
  <c r="G1201" i="1"/>
  <c r="F1201" i="1"/>
  <c r="E1201" i="1"/>
  <c r="H1200" i="1"/>
  <c r="G1200" i="1"/>
  <c r="F1200" i="1"/>
  <c r="E1200" i="1"/>
  <c r="H1199" i="1"/>
  <c r="G1199" i="1"/>
  <c r="F1199" i="1"/>
  <c r="E1199" i="1"/>
  <c r="H1198" i="1"/>
  <c r="G1198" i="1"/>
  <c r="F1198" i="1"/>
  <c r="E1198" i="1"/>
  <c r="H1197" i="1"/>
  <c r="G1197" i="1"/>
  <c r="F1197" i="1"/>
  <c r="E1197" i="1"/>
  <c r="H1196" i="1"/>
  <c r="G1196" i="1"/>
  <c r="F1196" i="1"/>
  <c r="E1196" i="1"/>
  <c r="H1195" i="1"/>
  <c r="G1195" i="1"/>
  <c r="F1195" i="1"/>
  <c r="E1195" i="1"/>
  <c r="H1194" i="1"/>
  <c r="G1194" i="1"/>
  <c r="F1194" i="1"/>
  <c r="E1194" i="1"/>
  <c r="H1193" i="1"/>
  <c r="G1193" i="1"/>
  <c r="F1193" i="1"/>
  <c r="E1193" i="1"/>
  <c r="H1192" i="1"/>
  <c r="G1192" i="1"/>
  <c r="F1192" i="1"/>
  <c r="E1192" i="1"/>
  <c r="H1191" i="1"/>
  <c r="G1191" i="1"/>
  <c r="F1191" i="1"/>
  <c r="E1191" i="1"/>
  <c r="H1190" i="1"/>
  <c r="G1190" i="1"/>
  <c r="F1190" i="1"/>
  <c r="E1190" i="1"/>
  <c r="H1189" i="1"/>
  <c r="G1189" i="1"/>
  <c r="F1189" i="1"/>
  <c r="E1189" i="1"/>
  <c r="H1188" i="1"/>
  <c r="G1188" i="1"/>
  <c r="F1188" i="1"/>
  <c r="E1188" i="1"/>
  <c r="H1187" i="1"/>
  <c r="G1187" i="1"/>
  <c r="F1187" i="1"/>
  <c r="E1187" i="1"/>
  <c r="H1186" i="1"/>
  <c r="G1186" i="1"/>
  <c r="F1186" i="1"/>
  <c r="E1186" i="1"/>
  <c r="H1185" i="1"/>
  <c r="G1185" i="1"/>
  <c r="F1185" i="1"/>
  <c r="E1185" i="1"/>
  <c r="H1184" i="1"/>
  <c r="G1184" i="1"/>
  <c r="F1184" i="1"/>
  <c r="E1184" i="1"/>
  <c r="H1183" i="1"/>
  <c r="G1183" i="1"/>
  <c r="F1183" i="1"/>
  <c r="E1183" i="1"/>
  <c r="H1182" i="1"/>
  <c r="G1182" i="1"/>
  <c r="F1182" i="1"/>
  <c r="E1182" i="1"/>
  <c r="H1181" i="1"/>
  <c r="G1181" i="1"/>
  <c r="F1181" i="1"/>
  <c r="E1181" i="1"/>
  <c r="H1180" i="1"/>
  <c r="G1180" i="1"/>
  <c r="F1180" i="1"/>
  <c r="E1180" i="1"/>
  <c r="H1179" i="1"/>
  <c r="G1179" i="1"/>
  <c r="F1179" i="1"/>
  <c r="E1179" i="1"/>
  <c r="H1178" i="1"/>
  <c r="G1178" i="1"/>
  <c r="F1178" i="1"/>
  <c r="E1178" i="1"/>
  <c r="H1177" i="1"/>
  <c r="G1177" i="1"/>
  <c r="F1177" i="1"/>
  <c r="E1177" i="1"/>
  <c r="H1176" i="1"/>
  <c r="G1176" i="1"/>
  <c r="F1176" i="1"/>
  <c r="E1176" i="1"/>
  <c r="H1175" i="1"/>
  <c r="G1175" i="1"/>
  <c r="F1175" i="1"/>
  <c r="E1175" i="1"/>
  <c r="H1174" i="1"/>
  <c r="G1174" i="1"/>
  <c r="F1174" i="1"/>
  <c r="E1174" i="1"/>
  <c r="H1173" i="1"/>
  <c r="G1173" i="1"/>
  <c r="F1173" i="1"/>
  <c r="E1173" i="1"/>
  <c r="H1172" i="1"/>
  <c r="G1172" i="1"/>
  <c r="F1172" i="1"/>
  <c r="E1172" i="1"/>
  <c r="H1171" i="1"/>
  <c r="G1171" i="1"/>
  <c r="F1171" i="1"/>
  <c r="E1171" i="1"/>
  <c r="H1170" i="1"/>
  <c r="G1170" i="1"/>
  <c r="F1170" i="1"/>
  <c r="E1170" i="1"/>
  <c r="H1169" i="1"/>
  <c r="G1169" i="1"/>
  <c r="F1169" i="1"/>
  <c r="E1169" i="1"/>
  <c r="H1168" i="1"/>
  <c r="G1168" i="1"/>
  <c r="F1168" i="1"/>
  <c r="E1168" i="1"/>
  <c r="H1167" i="1"/>
  <c r="G1167" i="1"/>
  <c r="F1167" i="1"/>
  <c r="E1167" i="1"/>
  <c r="H1166" i="1"/>
  <c r="G1166" i="1"/>
  <c r="F1166" i="1"/>
  <c r="E1166" i="1"/>
  <c r="H1165" i="1"/>
  <c r="G1165" i="1"/>
  <c r="F1165" i="1"/>
  <c r="E1165" i="1"/>
  <c r="H1164" i="1"/>
  <c r="G1164" i="1"/>
  <c r="F1164" i="1"/>
  <c r="E1164" i="1"/>
  <c r="H1163" i="1"/>
  <c r="G1163" i="1"/>
  <c r="F1163" i="1"/>
  <c r="E1163" i="1"/>
  <c r="H1162" i="1"/>
  <c r="G1162" i="1"/>
  <c r="F1162" i="1"/>
  <c r="E1162" i="1"/>
  <c r="H1161" i="1"/>
  <c r="G1161" i="1"/>
  <c r="F1161" i="1"/>
  <c r="E1161" i="1"/>
  <c r="H1160" i="1"/>
  <c r="G1160" i="1"/>
  <c r="F1160" i="1"/>
  <c r="E1160" i="1"/>
  <c r="H1159" i="1"/>
  <c r="G1159" i="1"/>
  <c r="F1159" i="1"/>
  <c r="E1159" i="1"/>
  <c r="H1158" i="1"/>
  <c r="G1158" i="1"/>
  <c r="F1158" i="1"/>
  <c r="E1158" i="1"/>
  <c r="H1157" i="1"/>
  <c r="G1157" i="1"/>
  <c r="F1157" i="1"/>
  <c r="E1157" i="1"/>
  <c r="H1156" i="1"/>
  <c r="G1156" i="1"/>
  <c r="F1156" i="1"/>
  <c r="E1156" i="1"/>
  <c r="H1155" i="1"/>
  <c r="G1155" i="1"/>
  <c r="F1155" i="1"/>
  <c r="E1155" i="1"/>
  <c r="H1154" i="1"/>
  <c r="G1154" i="1"/>
  <c r="F1154" i="1"/>
  <c r="E1154" i="1"/>
  <c r="H1153" i="1"/>
  <c r="G1153" i="1"/>
  <c r="F1153" i="1"/>
  <c r="E1153" i="1"/>
  <c r="H1152" i="1"/>
  <c r="G1152" i="1"/>
  <c r="F1152" i="1"/>
  <c r="E1152" i="1"/>
  <c r="H1151" i="1"/>
  <c r="G1151" i="1"/>
  <c r="F1151" i="1"/>
  <c r="E1151" i="1"/>
  <c r="H1150" i="1"/>
  <c r="G1150" i="1"/>
  <c r="F1150" i="1"/>
  <c r="E1150" i="1"/>
  <c r="H1149" i="1"/>
  <c r="G1149" i="1"/>
  <c r="F1149" i="1"/>
  <c r="E1149" i="1"/>
  <c r="H1148" i="1"/>
  <c r="G1148" i="1"/>
  <c r="F1148" i="1"/>
  <c r="E1148" i="1"/>
  <c r="H1147" i="1"/>
  <c r="G1147" i="1"/>
  <c r="F1147" i="1"/>
  <c r="E1147" i="1"/>
  <c r="H1146" i="1"/>
  <c r="G1146" i="1"/>
  <c r="F1146" i="1"/>
  <c r="E1146" i="1"/>
  <c r="H1145" i="1"/>
  <c r="G1145" i="1"/>
  <c r="F1145" i="1"/>
  <c r="E1145" i="1"/>
  <c r="H1144" i="1"/>
  <c r="G1144" i="1"/>
  <c r="F1144" i="1"/>
  <c r="E1144" i="1"/>
  <c r="H1143" i="1"/>
  <c r="G1143" i="1"/>
  <c r="F1143" i="1"/>
  <c r="E1143" i="1"/>
  <c r="H1142" i="1"/>
  <c r="G1142" i="1"/>
  <c r="F1142" i="1"/>
  <c r="E1142" i="1"/>
  <c r="H1141" i="1"/>
  <c r="G1141" i="1"/>
  <c r="F1141" i="1"/>
  <c r="E1141" i="1"/>
  <c r="H1140" i="1"/>
  <c r="G1140" i="1"/>
  <c r="F1140" i="1"/>
  <c r="E1140" i="1"/>
  <c r="H1139" i="1"/>
  <c r="G1139" i="1"/>
  <c r="F1139" i="1"/>
  <c r="E1139" i="1"/>
  <c r="H1138" i="1"/>
  <c r="G1138" i="1"/>
  <c r="F1138" i="1"/>
  <c r="E1138" i="1"/>
  <c r="H1137" i="1"/>
  <c r="G1137" i="1"/>
  <c r="F1137" i="1"/>
  <c r="E1137" i="1"/>
  <c r="H1136" i="1"/>
  <c r="G1136" i="1"/>
  <c r="F1136" i="1"/>
  <c r="E1136" i="1"/>
  <c r="H1135" i="1"/>
  <c r="G1135" i="1"/>
  <c r="F1135" i="1"/>
  <c r="E1135" i="1"/>
  <c r="H1134" i="1"/>
  <c r="G1134" i="1"/>
  <c r="F1134" i="1"/>
  <c r="E1134" i="1"/>
  <c r="H1133" i="1"/>
  <c r="G1133" i="1"/>
  <c r="F1133" i="1"/>
  <c r="E1133" i="1"/>
  <c r="H1132" i="1"/>
  <c r="G1132" i="1"/>
  <c r="F1132" i="1"/>
  <c r="E1132" i="1"/>
  <c r="H1131" i="1"/>
  <c r="G1131" i="1"/>
  <c r="F1131" i="1"/>
  <c r="E1131" i="1"/>
  <c r="H1130" i="1"/>
  <c r="G1130" i="1"/>
  <c r="F1130" i="1"/>
  <c r="E1130" i="1"/>
  <c r="H1129" i="1"/>
  <c r="G1129" i="1"/>
  <c r="F1129" i="1"/>
  <c r="E1129" i="1"/>
  <c r="H1128" i="1"/>
  <c r="G1128" i="1"/>
  <c r="F1128" i="1"/>
  <c r="E1128" i="1"/>
  <c r="H1127" i="1"/>
  <c r="G1127" i="1"/>
  <c r="F1127" i="1"/>
  <c r="E1127" i="1"/>
  <c r="H1126" i="1"/>
  <c r="G1126" i="1"/>
  <c r="F1126" i="1"/>
  <c r="E1126" i="1"/>
  <c r="H1125" i="1"/>
  <c r="G1125" i="1"/>
  <c r="F1125" i="1"/>
  <c r="E1125" i="1"/>
  <c r="H1124" i="1"/>
  <c r="G1124" i="1"/>
  <c r="F1124" i="1"/>
  <c r="E1124" i="1"/>
  <c r="H1123" i="1"/>
  <c r="G1123" i="1"/>
  <c r="F1123" i="1"/>
  <c r="E1123" i="1"/>
  <c r="H1122" i="1"/>
  <c r="G1122" i="1"/>
  <c r="F1122" i="1"/>
  <c r="E1122" i="1"/>
  <c r="H1121" i="1"/>
  <c r="G1121" i="1"/>
  <c r="F1121" i="1"/>
  <c r="E1121" i="1"/>
  <c r="H1120" i="1"/>
  <c r="G1120" i="1"/>
  <c r="F1120" i="1"/>
  <c r="E1120" i="1"/>
  <c r="H1119" i="1"/>
  <c r="G1119" i="1"/>
  <c r="F1119" i="1"/>
  <c r="E1119" i="1"/>
  <c r="H1118" i="1"/>
  <c r="G1118" i="1"/>
  <c r="F1118" i="1"/>
  <c r="E1118" i="1"/>
  <c r="H1117" i="1"/>
  <c r="G1117" i="1"/>
  <c r="F1117" i="1"/>
  <c r="E1117" i="1"/>
  <c r="H1116" i="1"/>
  <c r="G1116" i="1"/>
  <c r="F1116" i="1"/>
  <c r="E1116" i="1"/>
  <c r="H1115" i="1"/>
  <c r="G1115" i="1"/>
  <c r="F1115" i="1"/>
  <c r="E1115" i="1"/>
  <c r="H1114" i="1"/>
  <c r="G1114" i="1"/>
  <c r="F1114" i="1"/>
  <c r="E1114" i="1"/>
  <c r="H1113" i="1"/>
  <c r="G1113" i="1"/>
  <c r="F1113" i="1"/>
  <c r="E1113" i="1"/>
  <c r="H1112" i="1"/>
  <c r="G1112" i="1"/>
  <c r="F1112" i="1"/>
  <c r="E1112" i="1"/>
  <c r="H1111" i="1"/>
  <c r="G1111" i="1"/>
  <c r="F1111" i="1"/>
  <c r="E1111" i="1"/>
  <c r="H1110" i="1"/>
  <c r="G1110" i="1"/>
  <c r="F1110" i="1"/>
  <c r="E1110" i="1"/>
  <c r="H1109" i="1"/>
  <c r="G1109" i="1"/>
  <c r="F1109" i="1"/>
  <c r="E1109" i="1"/>
  <c r="H1108" i="1"/>
  <c r="G1108" i="1"/>
  <c r="F1108" i="1"/>
  <c r="E1108" i="1"/>
  <c r="H1107" i="1"/>
  <c r="G1107" i="1"/>
  <c r="F1107" i="1"/>
  <c r="E1107" i="1"/>
  <c r="H1106" i="1"/>
  <c r="G1106" i="1"/>
  <c r="F1106" i="1"/>
  <c r="E1106" i="1"/>
  <c r="H1105" i="1"/>
  <c r="G1105" i="1"/>
  <c r="F1105" i="1"/>
  <c r="E1105" i="1"/>
  <c r="H1104" i="1"/>
  <c r="G1104" i="1"/>
  <c r="F1104" i="1"/>
  <c r="E1104" i="1"/>
  <c r="H1103" i="1"/>
  <c r="G1103" i="1"/>
  <c r="F1103" i="1"/>
  <c r="E1103" i="1"/>
  <c r="H1102" i="1"/>
  <c r="G1102" i="1"/>
  <c r="F1102" i="1"/>
  <c r="E1102" i="1"/>
  <c r="H1101" i="1"/>
  <c r="G1101" i="1"/>
  <c r="F1101" i="1"/>
  <c r="E1101" i="1"/>
  <c r="H1100" i="1"/>
  <c r="G1100" i="1"/>
  <c r="F1100" i="1"/>
  <c r="E1100" i="1"/>
  <c r="H1099" i="1"/>
  <c r="G1099" i="1"/>
  <c r="F1099" i="1"/>
  <c r="E1099" i="1"/>
  <c r="H1098" i="1"/>
  <c r="G1098" i="1"/>
  <c r="F1098" i="1"/>
  <c r="E1098" i="1"/>
  <c r="H1097" i="1"/>
  <c r="G1097" i="1"/>
  <c r="F1097" i="1"/>
  <c r="E1097" i="1"/>
  <c r="H1096" i="1"/>
  <c r="G1096" i="1"/>
  <c r="F1096" i="1"/>
  <c r="E1096" i="1"/>
  <c r="H1095" i="1"/>
  <c r="G1095" i="1"/>
  <c r="F1095" i="1"/>
  <c r="E1095" i="1"/>
  <c r="H1094" i="1"/>
  <c r="G1094" i="1"/>
  <c r="F1094" i="1"/>
  <c r="E1094" i="1"/>
  <c r="H1093" i="1"/>
  <c r="G1093" i="1"/>
  <c r="F1093" i="1"/>
  <c r="E1093" i="1"/>
  <c r="H1092" i="1"/>
  <c r="G1092" i="1"/>
  <c r="F1092" i="1"/>
  <c r="E1092" i="1"/>
  <c r="H1091" i="1"/>
  <c r="G1091" i="1"/>
  <c r="F1091" i="1"/>
  <c r="E1091" i="1"/>
  <c r="H1090" i="1"/>
  <c r="G1090" i="1"/>
  <c r="F1090" i="1"/>
  <c r="E1090" i="1"/>
  <c r="H1089" i="1"/>
  <c r="G1089" i="1"/>
  <c r="F1089" i="1"/>
  <c r="E1089" i="1"/>
  <c r="H1088" i="1"/>
  <c r="G1088" i="1"/>
  <c r="F1088" i="1"/>
  <c r="E1088" i="1"/>
  <c r="H1087" i="1"/>
  <c r="G1087" i="1"/>
  <c r="F1087" i="1"/>
  <c r="E1087" i="1"/>
  <c r="H1086" i="1"/>
  <c r="G1086" i="1"/>
  <c r="F1086" i="1"/>
  <c r="E1086" i="1"/>
  <c r="H1085" i="1"/>
  <c r="G1085" i="1"/>
  <c r="F1085" i="1"/>
  <c r="E1085" i="1"/>
  <c r="H1084" i="1"/>
  <c r="G1084" i="1"/>
  <c r="F1084" i="1"/>
  <c r="E1084" i="1"/>
  <c r="H1083" i="1"/>
  <c r="G1083" i="1"/>
  <c r="F1083" i="1"/>
  <c r="E1083" i="1"/>
  <c r="H1082" i="1"/>
  <c r="G1082" i="1"/>
  <c r="F1082" i="1"/>
  <c r="E1082" i="1"/>
  <c r="H1081" i="1"/>
  <c r="G1081" i="1"/>
  <c r="F1081" i="1"/>
  <c r="E1081" i="1"/>
  <c r="H1080" i="1"/>
  <c r="G1080" i="1"/>
  <c r="F1080" i="1"/>
  <c r="E1080" i="1"/>
  <c r="H1079" i="1"/>
  <c r="G1079" i="1"/>
  <c r="F1079" i="1"/>
  <c r="E1079" i="1"/>
  <c r="H1078" i="1"/>
  <c r="G1078" i="1"/>
  <c r="F1078" i="1"/>
  <c r="E1078" i="1"/>
  <c r="H1077" i="1"/>
  <c r="G1077" i="1"/>
  <c r="F1077" i="1"/>
  <c r="E1077" i="1"/>
  <c r="H1076" i="1"/>
  <c r="G1076" i="1"/>
  <c r="F1076" i="1"/>
  <c r="E1076" i="1"/>
  <c r="H1075" i="1"/>
  <c r="G1075" i="1"/>
  <c r="F1075" i="1"/>
  <c r="E1075" i="1"/>
  <c r="H1074" i="1"/>
  <c r="G1074" i="1"/>
  <c r="F1074" i="1"/>
  <c r="E1074" i="1"/>
  <c r="H1073" i="1"/>
  <c r="G1073" i="1"/>
  <c r="F1073" i="1"/>
  <c r="E1073" i="1"/>
  <c r="H1072" i="1"/>
  <c r="G1072" i="1"/>
  <c r="F1072" i="1"/>
  <c r="E1072" i="1"/>
  <c r="H1071" i="1"/>
  <c r="G1071" i="1"/>
  <c r="F1071" i="1"/>
  <c r="E1071" i="1"/>
  <c r="H1070" i="1"/>
  <c r="G1070" i="1"/>
  <c r="F1070" i="1"/>
  <c r="E1070" i="1"/>
  <c r="H1069" i="1"/>
  <c r="G1069" i="1"/>
  <c r="F1069" i="1"/>
  <c r="E1069" i="1"/>
  <c r="H1068" i="1"/>
  <c r="G1068" i="1"/>
  <c r="F1068" i="1"/>
  <c r="E1068" i="1"/>
  <c r="H1067" i="1"/>
  <c r="G1067" i="1"/>
  <c r="F1067" i="1"/>
  <c r="E1067" i="1"/>
  <c r="H1066" i="1"/>
  <c r="G1066" i="1"/>
  <c r="F1066" i="1"/>
  <c r="E1066" i="1"/>
  <c r="H1065" i="1"/>
  <c r="G1065" i="1"/>
  <c r="F1065" i="1"/>
  <c r="E1065" i="1"/>
  <c r="H1064" i="1"/>
  <c r="G1064" i="1"/>
  <c r="F1064" i="1"/>
  <c r="E1064" i="1"/>
  <c r="H1063" i="1"/>
  <c r="G1063" i="1"/>
  <c r="F1063" i="1"/>
  <c r="E1063" i="1"/>
  <c r="H1062" i="1"/>
  <c r="G1062" i="1"/>
  <c r="F1062" i="1"/>
  <c r="E1062" i="1"/>
  <c r="H1061" i="1"/>
  <c r="G1061" i="1"/>
  <c r="F1061" i="1"/>
  <c r="E1061" i="1"/>
  <c r="H1060" i="1"/>
  <c r="G1060" i="1"/>
  <c r="F1060" i="1"/>
  <c r="E1060" i="1"/>
  <c r="H1059" i="1"/>
  <c r="G1059" i="1"/>
  <c r="F1059" i="1"/>
  <c r="E1059" i="1"/>
  <c r="H1058" i="1"/>
  <c r="G1058" i="1"/>
  <c r="F1058" i="1"/>
  <c r="E1058" i="1"/>
  <c r="H1057" i="1"/>
  <c r="G1057" i="1"/>
  <c r="F1057" i="1"/>
  <c r="E1057" i="1"/>
  <c r="H1056" i="1"/>
  <c r="G1056" i="1"/>
  <c r="F1056" i="1"/>
  <c r="E1056" i="1"/>
  <c r="H1055" i="1"/>
  <c r="G1055" i="1"/>
  <c r="F1055" i="1"/>
  <c r="E1055" i="1"/>
  <c r="H1054" i="1"/>
  <c r="G1054" i="1"/>
  <c r="F1054" i="1"/>
  <c r="E1054" i="1"/>
  <c r="H1053" i="1"/>
  <c r="G1053" i="1"/>
  <c r="F1053" i="1"/>
  <c r="E1053" i="1"/>
  <c r="H1052" i="1"/>
  <c r="G1052" i="1"/>
  <c r="F1052" i="1"/>
  <c r="E1052" i="1"/>
  <c r="H1051" i="1"/>
  <c r="G1051" i="1"/>
  <c r="F1051" i="1"/>
  <c r="E1051" i="1"/>
  <c r="H1050" i="1"/>
  <c r="G1050" i="1"/>
  <c r="F1050" i="1"/>
  <c r="E1050" i="1"/>
  <c r="H1049" i="1"/>
  <c r="G1049" i="1"/>
  <c r="F1049" i="1"/>
  <c r="E1049" i="1"/>
  <c r="H1048" i="1"/>
  <c r="G1048" i="1"/>
  <c r="F1048" i="1"/>
  <c r="E1048" i="1"/>
  <c r="H1047" i="1"/>
  <c r="G1047" i="1"/>
  <c r="F1047" i="1"/>
  <c r="E1047" i="1"/>
  <c r="H1046" i="1"/>
  <c r="G1046" i="1"/>
  <c r="F1046" i="1"/>
  <c r="E1046" i="1"/>
  <c r="H1045" i="1"/>
  <c r="G1045" i="1"/>
  <c r="F1045" i="1"/>
  <c r="E1045" i="1"/>
  <c r="H1044" i="1"/>
  <c r="G1044" i="1"/>
  <c r="F1044" i="1"/>
  <c r="E1044" i="1"/>
  <c r="H1043" i="1"/>
  <c r="G1043" i="1"/>
  <c r="F1043" i="1"/>
  <c r="E1043" i="1"/>
  <c r="H1042" i="1"/>
  <c r="G1042" i="1"/>
  <c r="F1042" i="1"/>
  <c r="E1042" i="1"/>
  <c r="H1041" i="1"/>
  <c r="G1041" i="1"/>
  <c r="F1041" i="1"/>
  <c r="E1041" i="1"/>
  <c r="H1040" i="1"/>
  <c r="G1040" i="1"/>
  <c r="F1040" i="1"/>
  <c r="E1040" i="1"/>
  <c r="H1039" i="1"/>
  <c r="G1039" i="1"/>
  <c r="F1039" i="1"/>
  <c r="E1039" i="1"/>
  <c r="H1038" i="1"/>
  <c r="G1038" i="1"/>
  <c r="F1038" i="1"/>
  <c r="E1038" i="1"/>
  <c r="H1037" i="1"/>
  <c r="G1037" i="1"/>
  <c r="F1037" i="1"/>
  <c r="E1037" i="1"/>
  <c r="H1036" i="1"/>
  <c r="G1036" i="1"/>
  <c r="F1036" i="1"/>
  <c r="E1036" i="1"/>
  <c r="H1035" i="1"/>
  <c r="G1035" i="1"/>
  <c r="F1035" i="1"/>
  <c r="E1035" i="1"/>
  <c r="H1034" i="1"/>
  <c r="G1034" i="1"/>
  <c r="F1034" i="1"/>
  <c r="E1034" i="1"/>
  <c r="H1033" i="1"/>
  <c r="G1033" i="1"/>
  <c r="F1033" i="1"/>
  <c r="E1033" i="1"/>
  <c r="H1032" i="1"/>
  <c r="G1032" i="1"/>
  <c r="F1032" i="1"/>
  <c r="E1032" i="1"/>
  <c r="H1031" i="1"/>
  <c r="G1031" i="1"/>
  <c r="F1031" i="1"/>
  <c r="E1031" i="1"/>
  <c r="H1030" i="1"/>
  <c r="G1030" i="1"/>
  <c r="F1030" i="1"/>
  <c r="E1030" i="1"/>
  <c r="H1029" i="1"/>
  <c r="G1029" i="1"/>
  <c r="F1029" i="1"/>
  <c r="E1029" i="1"/>
  <c r="H1028" i="1"/>
  <c r="G1028" i="1"/>
  <c r="F1028" i="1"/>
  <c r="E1028" i="1"/>
  <c r="H1027" i="1"/>
  <c r="G1027" i="1"/>
  <c r="F1027" i="1"/>
  <c r="E1027" i="1"/>
  <c r="H1026" i="1"/>
  <c r="G1026" i="1"/>
  <c r="F1026" i="1"/>
  <c r="E1026" i="1"/>
  <c r="H1025" i="1"/>
  <c r="G1025" i="1"/>
  <c r="F1025" i="1"/>
  <c r="E1025" i="1"/>
  <c r="H1024" i="1"/>
  <c r="G1024" i="1"/>
  <c r="F1024" i="1"/>
  <c r="E1024" i="1"/>
  <c r="H1023" i="1"/>
  <c r="G1023" i="1"/>
  <c r="F1023" i="1"/>
  <c r="E1023" i="1"/>
  <c r="H1022" i="1"/>
  <c r="G1022" i="1"/>
  <c r="F1022" i="1"/>
  <c r="E1022" i="1"/>
  <c r="H1021" i="1"/>
  <c r="G1021" i="1"/>
  <c r="F1021" i="1"/>
  <c r="E1021" i="1"/>
  <c r="H1020" i="1"/>
  <c r="G1020" i="1"/>
  <c r="F1020" i="1"/>
  <c r="E1020" i="1"/>
  <c r="H1019" i="1"/>
  <c r="G1019" i="1"/>
  <c r="F1019" i="1"/>
  <c r="E1019" i="1"/>
  <c r="H1018" i="1"/>
  <c r="G1018" i="1"/>
  <c r="F1018" i="1"/>
  <c r="E1018" i="1"/>
  <c r="H1017" i="1"/>
  <c r="G1017" i="1"/>
  <c r="F1017" i="1"/>
  <c r="E1017" i="1"/>
  <c r="H1016" i="1"/>
  <c r="G1016" i="1"/>
  <c r="F1016" i="1"/>
  <c r="E1016" i="1"/>
  <c r="H1015" i="1"/>
  <c r="G1015" i="1"/>
  <c r="F1015" i="1"/>
  <c r="E1015" i="1"/>
  <c r="H1014" i="1"/>
  <c r="G1014" i="1"/>
  <c r="F1014" i="1"/>
  <c r="E1014" i="1"/>
  <c r="H1013" i="1"/>
  <c r="G1013" i="1"/>
  <c r="F1013" i="1"/>
  <c r="E1013" i="1"/>
  <c r="H1012" i="1"/>
  <c r="G1012" i="1"/>
  <c r="F1012" i="1"/>
  <c r="E1012" i="1"/>
  <c r="H1011" i="1"/>
  <c r="G1011" i="1"/>
  <c r="F1011" i="1"/>
  <c r="E1011" i="1"/>
  <c r="H1010" i="1"/>
  <c r="G1010" i="1"/>
  <c r="F1010" i="1"/>
  <c r="E1010" i="1"/>
  <c r="H1009" i="1"/>
  <c r="G1009" i="1"/>
  <c r="F1009" i="1"/>
  <c r="E1009" i="1"/>
  <c r="H1008" i="1"/>
  <c r="G1008" i="1"/>
  <c r="F1008" i="1"/>
  <c r="E1008" i="1"/>
  <c r="H1007" i="1"/>
  <c r="G1007" i="1"/>
  <c r="F1007" i="1"/>
  <c r="E1007" i="1"/>
  <c r="H1006" i="1"/>
  <c r="G1006" i="1"/>
  <c r="F1006" i="1"/>
  <c r="E1006" i="1"/>
  <c r="H1005" i="1"/>
  <c r="G1005" i="1"/>
  <c r="F1005" i="1"/>
  <c r="E1005" i="1"/>
  <c r="H1004" i="1"/>
  <c r="G1004" i="1"/>
  <c r="F1004" i="1"/>
  <c r="E1004" i="1"/>
  <c r="H1003" i="1"/>
  <c r="G1003" i="1"/>
  <c r="F1003" i="1"/>
  <c r="E1003" i="1"/>
  <c r="H1002" i="1"/>
  <c r="G1002" i="1"/>
  <c r="F1002" i="1"/>
  <c r="E1002" i="1"/>
  <c r="H1001" i="1"/>
  <c r="G1001" i="1"/>
  <c r="F1001" i="1"/>
  <c r="E1001" i="1"/>
  <c r="H1000" i="1"/>
  <c r="G1000" i="1"/>
  <c r="F1000" i="1"/>
  <c r="E1000" i="1"/>
  <c r="H999" i="1"/>
  <c r="G999" i="1"/>
  <c r="F999" i="1"/>
  <c r="E999" i="1"/>
  <c r="H998" i="1"/>
  <c r="G998" i="1"/>
  <c r="F998" i="1"/>
  <c r="E998" i="1"/>
  <c r="H997" i="1"/>
  <c r="G997" i="1"/>
  <c r="F997" i="1"/>
  <c r="E997" i="1"/>
  <c r="H996" i="1"/>
  <c r="G996" i="1"/>
  <c r="F996" i="1"/>
  <c r="E996" i="1"/>
  <c r="H995" i="1"/>
  <c r="G995" i="1"/>
  <c r="F995" i="1"/>
  <c r="E995" i="1"/>
  <c r="H994" i="1"/>
  <c r="G994" i="1"/>
  <c r="F994" i="1"/>
  <c r="E994" i="1"/>
  <c r="H993" i="1"/>
  <c r="G993" i="1"/>
  <c r="F993" i="1"/>
  <c r="E993" i="1"/>
  <c r="H992" i="1"/>
  <c r="G992" i="1"/>
  <c r="F992" i="1"/>
  <c r="E992" i="1"/>
  <c r="H991" i="1"/>
  <c r="G991" i="1"/>
  <c r="F991" i="1"/>
  <c r="E991" i="1"/>
  <c r="H990" i="1"/>
  <c r="G990" i="1"/>
  <c r="F990" i="1"/>
  <c r="E990" i="1"/>
  <c r="H989" i="1"/>
  <c r="G989" i="1"/>
  <c r="F989" i="1"/>
  <c r="E989" i="1"/>
  <c r="H988" i="1"/>
  <c r="G988" i="1"/>
  <c r="F988" i="1"/>
  <c r="E988" i="1"/>
  <c r="H987" i="1"/>
  <c r="G987" i="1"/>
  <c r="F987" i="1"/>
  <c r="E987" i="1"/>
  <c r="H986" i="1"/>
  <c r="G986" i="1"/>
  <c r="F986" i="1"/>
  <c r="E986" i="1"/>
  <c r="H985" i="1"/>
  <c r="G985" i="1"/>
  <c r="F985" i="1"/>
  <c r="E985" i="1"/>
  <c r="H984" i="1"/>
  <c r="G984" i="1"/>
  <c r="F984" i="1"/>
  <c r="E984" i="1"/>
  <c r="H983" i="1"/>
  <c r="G983" i="1"/>
  <c r="F983" i="1"/>
  <c r="E983" i="1"/>
  <c r="H982" i="1"/>
  <c r="G982" i="1"/>
  <c r="F982" i="1"/>
  <c r="E982" i="1"/>
  <c r="H981" i="1"/>
  <c r="G981" i="1"/>
  <c r="F981" i="1"/>
  <c r="E981" i="1"/>
  <c r="H980" i="1"/>
  <c r="G980" i="1"/>
  <c r="F980" i="1"/>
  <c r="E980" i="1"/>
  <c r="H979" i="1"/>
  <c r="G979" i="1"/>
  <c r="F979" i="1"/>
  <c r="E979" i="1"/>
  <c r="H978" i="1"/>
  <c r="G978" i="1"/>
  <c r="F978" i="1"/>
  <c r="E978" i="1"/>
  <c r="H977" i="1"/>
  <c r="G977" i="1"/>
  <c r="F977" i="1"/>
  <c r="E977" i="1"/>
  <c r="H976" i="1"/>
  <c r="G976" i="1"/>
  <c r="F976" i="1"/>
  <c r="E976" i="1"/>
  <c r="H975" i="1"/>
  <c r="G975" i="1"/>
  <c r="F975" i="1"/>
  <c r="E975" i="1"/>
  <c r="H974" i="1"/>
  <c r="G974" i="1"/>
  <c r="F974" i="1"/>
  <c r="E974" i="1"/>
  <c r="H973" i="1"/>
  <c r="G973" i="1"/>
  <c r="F973" i="1"/>
  <c r="E973" i="1"/>
  <c r="H972" i="1"/>
  <c r="G972" i="1"/>
  <c r="F972" i="1"/>
  <c r="E972" i="1"/>
  <c r="H971" i="1"/>
  <c r="G971" i="1"/>
  <c r="F971" i="1"/>
  <c r="E971" i="1"/>
  <c r="H970" i="1"/>
  <c r="G970" i="1"/>
  <c r="F970" i="1"/>
  <c r="E970" i="1"/>
  <c r="H969" i="1"/>
  <c r="G969" i="1"/>
  <c r="F969" i="1"/>
  <c r="E969" i="1"/>
  <c r="H968" i="1"/>
  <c r="G968" i="1"/>
  <c r="F968" i="1"/>
  <c r="E968" i="1"/>
  <c r="H967" i="1"/>
  <c r="G967" i="1"/>
  <c r="F967" i="1"/>
  <c r="E967" i="1"/>
  <c r="H966" i="1"/>
  <c r="G966" i="1"/>
  <c r="F966" i="1"/>
  <c r="E966" i="1"/>
  <c r="H965" i="1"/>
  <c r="G965" i="1"/>
  <c r="F965" i="1"/>
  <c r="E965" i="1"/>
  <c r="H964" i="1"/>
  <c r="G964" i="1"/>
  <c r="F964" i="1"/>
  <c r="E964" i="1"/>
  <c r="H963" i="1"/>
  <c r="G963" i="1"/>
  <c r="F963" i="1"/>
  <c r="E963" i="1"/>
  <c r="H962" i="1"/>
  <c r="G962" i="1"/>
  <c r="F962" i="1"/>
  <c r="E962" i="1"/>
  <c r="H961" i="1"/>
  <c r="G961" i="1"/>
  <c r="F961" i="1"/>
  <c r="E961" i="1"/>
  <c r="H960" i="1"/>
  <c r="G960" i="1"/>
  <c r="F960" i="1"/>
  <c r="E960" i="1"/>
  <c r="H959" i="1"/>
  <c r="G959" i="1"/>
  <c r="F959" i="1"/>
  <c r="E959" i="1"/>
  <c r="H958" i="1"/>
  <c r="G958" i="1"/>
  <c r="F958" i="1"/>
  <c r="E958" i="1"/>
  <c r="H957" i="1"/>
  <c r="G957" i="1"/>
  <c r="F957" i="1"/>
  <c r="E957" i="1"/>
  <c r="H956" i="1"/>
  <c r="G956" i="1"/>
  <c r="F956" i="1"/>
  <c r="E956" i="1"/>
  <c r="H955" i="1"/>
  <c r="G955" i="1"/>
  <c r="F955" i="1"/>
  <c r="E955" i="1"/>
  <c r="H954" i="1"/>
  <c r="G954" i="1"/>
  <c r="F954" i="1"/>
  <c r="E954" i="1"/>
  <c r="H953" i="1"/>
  <c r="G953" i="1"/>
  <c r="F953" i="1"/>
  <c r="E953" i="1"/>
  <c r="H952" i="1"/>
  <c r="G952" i="1"/>
  <c r="F952" i="1"/>
  <c r="E952" i="1"/>
  <c r="H951" i="1"/>
  <c r="G951" i="1"/>
  <c r="F951" i="1"/>
  <c r="E951" i="1"/>
  <c r="H950" i="1"/>
  <c r="G950" i="1"/>
  <c r="F950" i="1"/>
  <c r="E950" i="1"/>
  <c r="H949" i="1"/>
  <c r="G949" i="1"/>
  <c r="F949" i="1"/>
  <c r="E949" i="1"/>
  <c r="H948" i="1"/>
  <c r="G948" i="1"/>
  <c r="F948" i="1"/>
  <c r="E948" i="1"/>
  <c r="H947" i="1"/>
  <c r="G947" i="1"/>
  <c r="F947" i="1"/>
  <c r="E947" i="1"/>
  <c r="H946" i="1"/>
  <c r="G946" i="1"/>
  <c r="F946" i="1"/>
  <c r="E946" i="1"/>
  <c r="H945" i="1"/>
  <c r="G945" i="1"/>
  <c r="F945" i="1"/>
  <c r="E945" i="1"/>
  <c r="H944" i="1"/>
  <c r="G944" i="1"/>
  <c r="F944" i="1"/>
  <c r="E944" i="1"/>
  <c r="H943" i="1"/>
  <c r="G943" i="1"/>
  <c r="F943" i="1"/>
  <c r="E943" i="1"/>
  <c r="H942" i="1"/>
  <c r="G942" i="1"/>
  <c r="F942" i="1"/>
  <c r="E942" i="1"/>
  <c r="H941" i="1"/>
  <c r="G941" i="1"/>
  <c r="F941" i="1"/>
  <c r="E941" i="1"/>
  <c r="H940" i="1"/>
  <c r="G940" i="1"/>
  <c r="F940" i="1"/>
  <c r="E940" i="1"/>
  <c r="H939" i="1"/>
  <c r="G939" i="1"/>
  <c r="F939" i="1"/>
  <c r="E939" i="1"/>
  <c r="H938" i="1"/>
  <c r="G938" i="1"/>
  <c r="F938" i="1"/>
  <c r="E938" i="1"/>
  <c r="H937" i="1"/>
  <c r="G937" i="1"/>
  <c r="F937" i="1"/>
  <c r="E937" i="1"/>
  <c r="H936" i="1"/>
  <c r="G936" i="1"/>
  <c r="F936" i="1"/>
  <c r="E936" i="1"/>
  <c r="H935" i="1"/>
  <c r="G935" i="1"/>
  <c r="F935" i="1"/>
  <c r="E935" i="1"/>
  <c r="H934" i="1"/>
  <c r="G934" i="1"/>
  <c r="F934" i="1"/>
  <c r="E934" i="1"/>
  <c r="H933" i="1"/>
  <c r="G933" i="1"/>
  <c r="F933" i="1"/>
  <c r="E933" i="1"/>
  <c r="H932" i="1"/>
  <c r="G932" i="1"/>
  <c r="F932" i="1"/>
  <c r="E932" i="1"/>
  <c r="H931" i="1"/>
  <c r="G931" i="1"/>
  <c r="F931" i="1"/>
  <c r="E931" i="1"/>
  <c r="H930" i="1"/>
  <c r="G930" i="1"/>
  <c r="F930" i="1"/>
  <c r="E930" i="1"/>
  <c r="H929" i="1"/>
  <c r="G929" i="1"/>
  <c r="F929" i="1"/>
  <c r="E929" i="1"/>
  <c r="H928" i="1"/>
  <c r="G928" i="1"/>
  <c r="F928" i="1"/>
  <c r="E928" i="1"/>
  <c r="H927" i="1"/>
  <c r="G927" i="1"/>
  <c r="F927" i="1"/>
  <c r="E927" i="1"/>
  <c r="H926" i="1"/>
  <c r="G926" i="1"/>
  <c r="F926" i="1"/>
  <c r="E926" i="1"/>
  <c r="H925" i="1"/>
  <c r="G925" i="1"/>
  <c r="F925" i="1"/>
  <c r="E925" i="1"/>
  <c r="H924" i="1"/>
  <c r="G924" i="1"/>
  <c r="F924" i="1"/>
  <c r="E924" i="1"/>
  <c r="H923" i="1"/>
  <c r="G923" i="1"/>
  <c r="F923" i="1"/>
  <c r="E923" i="1"/>
  <c r="H922" i="1"/>
  <c r="G922" i="1"/>
  <c r="F922" i="1"/>
  <c r="E922" i="1"/>
  <c r="H921" i="1"/>
  <c r="G921" i="1"/>
  <c r="F921" i="1"/>
  <c r="E921" i="1"/>
  <c r="H920" i="1"/>
  <c r="G920" i="1"/>
  <c r="F920" i="1"/>
  <c r="E920" i="1"/>
  <c r="H919" i="1"/>
  <c r="G919" i="1"/>
  <c r="F919" i="1"/>
  <c r="E919" i="1"/>
  <c r="H918" i="1"/>
  <c r="G918" i="1"/>
  <c r="F918" i="1"/>
  <c r="E918" i="1"/>
  <c r="H917" i="1"/>
  <c r="G917" i="1"/>
  <c r="F917" i="1"/>
  <c r="E917" i="1"/>
  <c r="H916" i="1"/>
  <c r="G916" i="1"/>
  <c r="F916" i="1"/>
  <c r="E916" i="1"/>
  <c r="H915" i="1"/>
  <c r="G915" i="1"/>
  <c r="F915" i="1"/>
  <c r="E915" i="1"/>
  <c r="H914" i="1"/>
  <c r="G914" i="1"/>
  <c r="F914" i="1"/>
  <c r="E914" i="1"/>
  <c r="H913" i="1"/>
  <c r="G913" i="1"/>
  <c r="F913" i="1"/>
  <c r="E913" i="1"/>
  <c r="H912" i="1"/>
  <c r="G912" i="1"/>
  <c r="F912" i="1"/>
  <c r="E912" i="1"/>
  <c r="H911" i="1"/>
  <c r="G911" i="1"/>
  <c r="F911" i="1"/>
  <c r="E911" i="1"/>
  <c r="H910" i="1"/>
  <c r="G910" i="1"/>
  <c r="F910" i="1"/>
  <c r="E910" i="1"/>
  <c r="H909" i="1"/>
  <c r="G909" i="1"/>
  <c r="F909" i="1"/>
  <c r="E909" i="1"/>
  <c r="H908" i="1"/>
  <c r="G908" i="1"/>
  <c r="F908" i="1"/>
  <c r="E908" i="1"/>
  <c r="H907" i="1"/>
  <c r="G907" i="1"/>
  <c r="F907" i="1"/>
  <c r="E907" i="1"/>
  <c r="H906" i="1"/>
  <c r="G906" i="1"/>
  <c r="F906" i="1"/>
  <c r="E906" i="1"/>
  <c r="H905" i="1"/>
  <c r="G905" i="1"/>
  <c r="F905" i="1"/>
  <c r="E905" i="1"/>
  <c r="H904" i="1"/>
  <c r="G904" i="1"/>
  <c r="F904" i="1"/>
  <c r="E904" i="1"/>
  <c r="H903" i="1"/>
  <c r="G903" i="1"/>
  <c r="F903" i="1"/>
  <c r="E903" i="1"/>
  <c r="H902" i="1"/>
  <c r="G902" i="1"/>
  <c r="F902" i="1"/>
  <c r="E902" i="1"/>
  <c r="H901" i="1"/>
  <c r="G901" i="1"/>
  <c r="F901" i="1"/>
  <c r="E901" i="1"/>
  <c r="H900" i="1"/>
  <c r="G900" i="1"/>
  <c r="F900" i="1"/>
  <c r="E900" i="1"/>
  <c r="H899" i="1"/>
  <c r="G899" i="1"/>
  <c r="F899" i="1"/>
  <c r="E899" i="1"/>
  <c r="H898" i="1"/>
  <c r="G898" i="1"/>
  <c r="F898" i="1"/>
  <c r="E898" i="1"/>
  <c r="H897" i="1"/>
  <c r="G897" i="1"/>
  <c r="F897" i="1"/>
  <c r="E897" i="1"/>
  <c r="H896" i="1"/>
  <c r="G896" i="1"/>
  <c r="F896" i="1"/>
  <c r="E896" i="1"/>
  <c r="H895" i="1"/>
  <c r="G895" i="1"/>
  <c r="F895" i="1"/>
  <c r="E895" i="1"/>
  <c r="H894" i="1"/>
  <c r="G894" i="1"/>
  <c r="F894" i="1"/>
  <c r="E894" i="1"/>
  <c r="H893" i="1"/>
  <c r="G893" i="1"/>
  <c r="F893" i="1"/>
  <c r="E893" i="1"/>
  <c r="H892" i="1"/>
  <c r="G892" i="1"/>
  <c r="F892" i="1"/>
  <c r="E892" i="1"/>
  <c r="H891" i="1"/>
  <c r="G891" i="1"/>
  <c r="F891" i="1"/>
  <c r="E891" i="1"/>
  <c r="H890" i="1"/>
  <c r="G890" i="1"/>
  <c r="F890" i="1"/>
  <c r="E890" i="1"/>
  <c r="H889" i="1"/>
  <c r="G889" i="1"/>
  <c r="F889" i="1"/>
  <c r="E889" i="1"/>
  <c r="H888" i="1"/>
  <c r="G888" i="1"/>
  <c r="F888" i="1"/>
  <c r="E888" i="1"/>
  <c r="H887" i="1"/>
  <c r="G887" i="1"/>
  <c r="F887" i="1"/>
  <c r="E887" i="1"/>
  <c r="H886" i="1"/>
  <c r="G886" i="1"/>
  <c r="F886" i="1"/>
  <c r="E886" i="1"/>
  <c r="H885" i="1"/>
  <c r="G885" i="1"/>
  <c r="F885" i="1"/>
  <c r="E885" i="1"/>
  <c r="H884" i="1"/>
  <c r="G884" i="1"/>
  <c r="F884" i="1"/>
  <c r="E884" i="1"/>
  <c r="H883" i="1"/>
  <c r="G883" i="1"/>
  <c r="F883" i="1"/>
  <c r="E883" i="1"/>
  <c r="H882" i="1"/>
  <c r="G882" i="1"/>
  <c r="F882" i="1"/>
  <c r="E882" i="1"/>
  <c r="H881" i="1"/>
  <c r="G881" i="1"/>
  <c r="F881" i="1"/>
  <c r="E881" i="1"/>
  <c r="H880" i="1"/>
  <c r="G880" i="1"/>
  <c r="F880" i="1"/>
  <c r="E880" i="1"/>
  <c r="H879" i="1"/>
  <c r="G879" i="1"/>
  <c r="F879" i="1"/>
  <c r="E879" i="1"/>
  <c r="H878" i="1"/>
  <c r="G878" i="1"/>
  <c r="F878" i="1"/>
  <c r="E878" i="1"/>
  <c r="H877" i="1"/>
  <c r="G877" i="1"/>
  <c r="F877" i="1"/>
  <c r="E877" i="1"/>
  <c r="H876" i="1"/>
  <c r="G876" i="1"/>
  <c r="F876" i="1"/>
  <c r="E876" i="1"/>
  <c r="H875" i="1"/>
  <c r="G875" i="1"/>
  <c r="F875" i="1"/>
  <c r="E875" i="1"/>
  <c r="H874" i="1"/>
  <c r="G874" i="1"/>
  <c r="F874" i="1"/>
  <c r="E874" i="1"/>
  <c r="H873" i="1"/>
  <c r="G873" i="1"/>
  <c r="F873" i="1"/>
  <c r="E873" i="1"/>
  <c r="H872" i="1"/>
  <c r="G872" i="1"/>
  <c r="F872" i="1"/>
  <c r="E872" i="1"/>
  <c r="H871" i="1"/>
  <c r="G871" i="1"/>
  <c r="F871" i="1"/>
  <c r="E871" i="1"/>
  <c r="H870" i="1"/>
  <c r="G870" i="1"/>
  <c r="F870" i="1"/>
  <c r="E870" i="1"/>
  <c r="H869" i="1"/>
  <c r="G869" i="1"/>
  <c r="F869" i="1"/>
  <c r="E869" i="1"/>
  <c r="H868" i="1"/>
  <c r="G868" i="1"/>
  <c r="F868" i="1"/>
  <c r="E868" i="1"/>
  <c r="H867" i="1"/>
  <c r="G867" i="1"/>
  <c r="F867" i="1"/>
  <c r="E867" i="1"/>
  <c r="H866" i="1"/>
  <c r="G866" i="1"/>
  <c r="F866" i="1"/>
  <c r="E866" i="1"/>
  <c r="H865" i="1"/>
  <c r="G865" i="1"/>
  <c r="F865" i="1"/>
  <c r="E865" i="1"/>
  <c r="H864" i="1"/>
  <c r="G864" i="1"/>
  <c r="F864" i="1"/>
  <c r="E864" i="1"/>
  <c r="H863" i="1"/>
  <c r="G863" i="1"/>
  <c r="F863" i="1"/>
  <c r="E863" i="1"/>
  <c r="H862" i="1"/>
  <c r="G862" i="1"/>
  <c r="F862" i="1"/>
  <c r="E862" i="1"/>
  <c r="H861" i="1"/>
  <c r="G861" i="1"/>
  <c r="F861" i="1"/>
  <c r="E861" i="1"/>
  <c r="H860" i="1"/>
  <c r="G860" i="1"/>
  <c r="F860" i="1"/>
  <c r="E860" i="1"/>
  <c r="H859" i="1"/>
  <c r="G859" i="1"/>
  <c r="F859" i="1"/>
  <c r="E859" i="1"/>
  <c r="H858" i="1"/>
  <c r="G858" i="1"/>
  <c r="F858" i="1"/>
  <c r="E858" i="1"/>
  <c r="H857" i="1"/>
  <c r="G857" i="1"/>
  <c r="F857" i="1"/>
  <c r="E857" i="1"/>
  <c r="H856" i="1"/>
  <c r="G856" i="1"/>
  <c r="F856" i="1"/>
  <c r="E856" i="1"/>
  <c r="H855" i="1"/>
  <c r="G855" i="1"/>
  <c r="F855" i="1"/>
  <c r="E855" i="1"/>
  <c r="H854" i="1"/>
  <c r="G854" i="1"/>
  <c r="F854" i="1"/>
  <c r="E854" i="1"/>
  <c r="H853" i="1"/>
  <c r="G853" i="1"/>
  <c r="F853" i="1"/>
  <c r="E853" i="1"/>
  <c r="H852" i="1"/>
  <c r="G852" i="1"/>
  <c r="F852" i="1"/>
  <c r="E852" i="1"/>
  <c r="H851" i="1"/>
  <c r="G851" i="1"/>
  <c r="F851" i="1"/>
  <c r="E851" i="1"/>
  <c r="H850" i="1"/>
  <c r="G850" i="1"/>
  <c r="F850" i="1"/>
  <c r="E850" i="1"/>
  <c r="H849" i="1"/>
  <c r="G849" i="1"/>
  <c r="F849" i="1"/>
  <c r="E849" i="1"/>
  <c r="H848" i="1"/>
  <c r="G848" i="1"/>
  <c r="F848" i="1"/>
  <c r="E848" i="1"/>
  <c r="H847" i="1"/>
  <c r="G847" i="1"/>
  <c r="F847" i="1"/>
  <c r="E847" i="1"/>
  <c r="H846" i="1"/>
  <c r="G846" i="1"/>
  <c r="F846" i="1"/>
  <c r="E846" i="1"/>
  <c r="H845" i="1"/>
  <c r="G845" i="1"/>
  <c r="F845" i="1"/>
  <c r="E845" i="1"/>
  <c r="H844" i="1"/>
  <c r="G844" i="1"/>
  <c r="F844" i="1"/>
  <c r="E844" i="1"/>
  <c r="H843" i="1"/>
  <c r="G843" i="1"/>
  <c r="F843" i="1"/>
  <c r="E843" i="1"/>
  <c r="H842" i="1"/>
  <c r="G842" i="1"/>
  <c r="F842" i="1"/>
  <c r="E842" i="1"/>
  <c r="H841" i="1"/>
  <c r="G841" i="1"/>
  <c r="F841" i="1"/>
  <c r="E841" i="1"/>
  <c r="H840" i="1"/>
  <c r="G840" i="1"/>
  <c r="F840" i="1"/>
  <c r="E840" i="1"/>
  <c r="H839" i="1"/>
  <c r="G839" i="1"/>
  <c r="F839" i="1"/>
  <c r="E839" i="1"/>
  <c r="H838" i="1"/>
  <c r="G838" i="1"/>
  <c r="F838" i="1"/>
  <c r="E838" i="1"/>
  <c r="H837" i="1"/>
  <c r="G837" i="1"/>
  <c r="F837" i="1"/>
  <c r="E837" i="1"/>
  <c r="H836" i="1"/>
  <c r="G836" i="1"/>
  <c r="F836" i="1"/>
  <c r="E836" i="1"/>
  <c r="H835" i="1"/>
  <c r="G835" i="1"/>
  <c r="F835" i="1"/>
  <c r="E835" i="1"/>
  <c r="H834" i="1"/>
  <c r="G834" i="1"/>
  <c r="F834" i="1"/>
  <c r="E834" i="1"/>
  <c r="H833" i="1"/>
  <c r="G833" i="1"/>
  <c r="F833" i="1"/>
  <c r="E833" i="1"/>
  <c r="H832" i="1"/>
  <c r="G832" i="1"/>
  <c r="F832" i="1"/>
  <c r="E832" i="1"/>
  <c r="H831" i="1"/>
  <c r="G831" i="1"/>
  <c r="F831" i="1"/>
  <c r="E831" i="1"/>
  <c r="H830" i="1"/>
  <c r="G830" i="1"/>
  <c r="F830" i="1"/>
  <c r="E830" i="1"/>
  <c r="H829" i="1"/>
  <c r="G829" i="1"/>
  <c r="F829" i="1"/>
  <c r="E829" i="1"/>
  <c r="H828" i="1"/>
  <c r="G828" i="1"/>
  <c r="F828" i="1"/>
  <c r="E828" i="1"/>
  <c r="H827" i="1"/>
  <c r="G827" i="1"/>
  <c r="F827" i="1"/>
  <c r="E827" i="1"/>
  <c r="H826" i="1"/>
  <c r="G826" i="1"/>
  <c r="F826" i="1"/>
  <c r="E826" i="1"/>
  <c r="H825" i="1"/>
  <c r="G825" i="1"/>
  <c r="F825" i="1"/>
  <c r="E825" i="1"/>
  <c r="H824" i="1"/>
  <c r="G824" i="1"/>
  <c r="F824" i="1"/>
  <c r="E824" i="1"/>
  <c r="H823" i="1"/>
  <c r="G823" i="1"/>
  <c r="F823" i="1"/>
  <c r="E823" i="1"/>
  <c r="H822" i="1"/>
  <c r="G822" i="1"/>
  <c r="F822" i="1"/>
  <c r="E822" i="1"/>
  <c r="H821" i="1"/>
  <c r="G821" i="1"/>
  <c r="F821" i="1"/>
  <c r="E821" i="1"/>
  <c r="H820" i="1"/>
  <c r="G820" i="1"/>
  <c r="F820" i="1"/>
  <c r="E820" i="1"/>
  <c r="H819" i="1"/>
  <c r="G819" i="1"/>
  <c r="F819" i="1"/>
  <c r="E819" i="1"/>
  <c r="H818" i="1"/>
  <c r="G818" i="1"/>
  <c r="F818" i="1"/>
  <c r="E818" i="1"/>
  <c r="H817" i="1"/>
  <c r="G817" i="1"/>
  <c r="F817" i="1"/>
  <c r="E817" i="1"/>
  <c r="H816" i="1"/>
  <c r="G816" i="1"/>
  <c r="F816" i="1"/>
  <c r="E816" i="1"/>
  <c r="H815" i="1"/>
  <c r="G815" i="1"/>
  <c r="F815" i="1"/>
  <c r="E815" i="1"/>
  <c r="H814" i="1"/>
  <c r="G814" i="1"/>
  <c r="F814" i="1"/>
  <c r="E814" i="1"/>
  <c r="H813" i="1"/>
  <c r="G813" i="1"/>
  <c r="F813" i="1"/>
  <c r="E813" i="1"/>
  <c r="H812" i="1"/>
  <c r="G812" i="1"/>
  <c r="F812" i="1"/>
  <c r="E812" i="1"/>
  <c r="H811" i="1"/>
  <c r="G811" i="1"/>
  <c r="F811" i="1"/>
  <c r="E811" i="1"/>
  <c r="H810" i="1"/>
  <c r="G810" i="1"/>
  <c r="F810" i="1"/>
  <c r="E810" i="1"/>
  <c r="H809" i="1"/>
  <c r="G809" i="1"/>
  <c r="F809" i="1"/>
  <c r="E809" i="1"/>
  <c r="H808" i="1"/>
  <c r="G808" i="1"/>
  <c r="F808" i="1"/>
  <c r="E808" i="1"/>
  <c r="H807" i="1"/>
  <c r="G807" i="1"/>
  <c r="F807" i="1"/>
  <c r="E807" i="1"/>
  <c r="H806" i="1"/>
  <c r="G806" i="1"/>
  <c r="F806" i="1"/>
  <c r="E806" i="1"/>
  <c r="H805" i="1"/>
  <c r="G805" i="1"/>
  <c r="F805" i="1"/>
  <c r="E805" i="1"/>
  <c r="H804" i="1"/>
  <c r="G804" i="1"/>
  <c r="F804" i="1"/>
  <c r="E804" i="1"/>
  <c r="H803" i="1"/>
  <c r="G803" i="1"/>
  <c r="F803" i="1"/>
  <c r="E803" i="1"/>
  <c r="H802" i="1"/>
  <c r="G802" i="1"/>
  <c r="F802" i="1"/>
  <c r="E802" i="1"/>
  <c r="H801" i="1"/>
  <c r="G801" i="1"/>
  <c r="F801" i="1"/>
  <c r="E801" i="1"/>
  <c r="H800" i="1"/>
  <c r="G800" i="1"/>
  <c r="F800" i="1"/>
  <c r="E800" i="1"/>
  <c r="H799" i="1"/>
  <c r="G799" i="1"/>
  <c r="F799" i="1"/>
  <c r="E799" i="1"/>
  <c r="H798" i="1"/>
  <c r="G798" i="1"/>
  <c r="F798" i="1"/>
  <c r="E798" i="1"/>
  <c r="H797" i="1"/>
  <c r="G797" i="1"/>
  <c r="F797" i="1"/>
  <c r="E797" i="1"/>
  <c r="H796" i="1"/>
  <c r="G796" i="1"/>
  <c r="F796" i="1"/>
  <c r="E796" i="1"/>
  <c r="H795" i="1"/>
  <c r="G795" i="1"/>
  <c r="F795" i="1"/>
  <c r="E795" i="1"/>
  <c r="H794" i="1"/>
  <c r="G794" i="1"/>
  <c r="F794" i="1"/>
  <c r="E794" i="1"/>
  <c r="H793" i="1"/>
  <c r="G793" i="1"/>
  <c r="F793" i="1"/>
  <c r="E793" i="1"/>
  <c r="H792" i="1"/>
  <c r="G792" i="1"/>
  <c r="F792" i="1"/>
  <c r="E792" i="1"/>
  <c r="H791" i="1"/>
  <c r="G791" i="1"/>
  <c r="F791" i="1"/>
  <c r="E791" i="1"/>
  <c r="H790" i="1"/>
  <c r="G790" i="1"/>
  <c r="F790" i="1"/>
  <c r="E790" i="1"/>
  <c r="H789" i="1"/>
  <c r="G789" i="1"/>
  <c r="F789" i="1"/>
  <c r="E789" i="1"/>
  <c r="H788" i="1"/>
  <c r="G788" i="1"/>
  <c r="F788" i="1"/>
  <c r="E788" i="1"/>
  <c r="H787" i="1"/>
  <c r="G787" i="1"/>
  <c r="F787" i="1"/>
  <c r="E787" i="1"/>
  <c r="H786" i="1"/>
  <c r="G786" i="1"/>
  <c r="F786" i="1"/>
  <c r="E786" i="1"/>
  <c r="H785" i="1"/>
  <c r="G785" i="1"/>
  <c r="F785" i="1"/>
  <c r="E785" i="1"/>
  <c r="H784" i="1"/>
  <c r="G784" i="1"/>
  <c r="F784" i="1"/>
  <c r="E784" i="1"/>
  <c r="H783" i="1"/>
  <c r="G783" i="1"/>
  <c r="F783" i="1"/>
  <c r="E783" i="1"/>
  <c r="H782" i="1"/>
  <c r="G782" i="1"/>
  <c r="F782" i="1"/>
  <c r="E782" i="1"/>
  <c r="H781" i="1"/>
  <c r="G781" i="1"/>
  <c r="F781" i="1"/>
  <c r="E781" i="1"/>
  <c r="H780" i="1"/>
  <c r="G780" i="1"/>
  <c r="F780" i="1"/>
  <c r="E780" i="1"/>
  <c r="H779" i="1"/>
  <c r="G779" i="1"/>
  <c r="F779" i="1"/>
  <c r="E779" i="1"/>
  <c r="H778" i="1"/>
  <c r="G778" i="1"/>
  <c r="F778" i="1"/>
  <c r="E778" i="1"/>
  <c r="H777" i="1"/>
  <c r="G777" i="1"/>
  <c r="F777" i="1"/>
  <c r="E777" i="1"/>
  <c r="H776" i="1"/>
  <c r="G776" i="1"/>
  <c r="F776" i="1"/>
  <c r="E776" i="1"/>
  <c r="H775" i="1"/>
  <c r="G775" i="1"/>
  <c r="F775" i="1"/>
  <c r="E775" i="1"/>
  <c r="H774" i="1"/>
  <c r="G774" i="1"/>
  <c r="F774" i="1"/>
  <c r="E774" i="1"/>
  <c r="H773" i="1"/>
  <c r="G773" i="1"/>
  <c r="F773" i="1"/>
  <c r="E773" i="1"/>
  <c r="H772" i="1"/>
  <c r="G772" i="1"/>
  <c r="F772" i="1"/>
  <c r="E772" i="1"/>
  <c r="H771" i="1"/>
  <c r="G771" i="1"/>
  <c r="F771" i="1"/>
  <c r="E771" i="1"/>
  <c r="H770" i="1"/>
  <c r="G770" i="1"/>
  <c r="F770" i="1"/>
  <c r="E770" i="1"/>
  <c r="H769" i="1"/>
  <c r="G769" i="1"/>
  <c r="F769" i="1"/>
  <c r="E769" i="1"/>
  <c r="H768" i="1"/>
  <c r="G768" i="1"/>
  <c r="F768" i="1"/>
  <c r="E768" i="1"/>
  <c r="H767" i="1"/>
  <c r="G767" i="1"/>
  <c r="F767" i="1"/>
  <c r="E767" i="1"/>
  <c r="H766" i="1"/>
  <c r="G766" i="1"/>
  <c r="F766" i="1"/>
  <c r="E766" i="1"/>
  <c r="H765" i="1"/>
  <c r="G765" i="1"/>
  <c r="F765" i="1"/>
  <c r="E765" i="1"/>
  <c r="H764" i="1"/>
  <c r="G764" i="1"/>
  <c r="F764" i="1"/>
  <c r="E764" i="1"/>
  <c r="H763" i="1"/>
  <c r="G763" i="1"/>
  <c r="F763" i="1"/>
  <c r="E763" i="1"/>
  <c r="H762" i="1"/>
  <c r="G762" i="1"/>
  <c r="F762" i="1"/>
  <c r="E762" i="1"/>
  <c r="H761" i="1"/>
  <c r="G761" i="1"/>
  <c r="F761" i="1"/>
  <c r="E761" i="1"/>
  <c r="H760" i="1"/>
  <c r="G760" i="1"/>
  <c r="F760" i="1"/>
  <c r="E760" i="1"/>
  <c r="H759" i="1"/>
  <c r="G759" i="1"/>
  <c r="F759" i="1"/>
  <c r="E759" i="1"/>
  <c r="H758" i="1"/>
  <c r="G758" i="1"/>
  <c r="F758" i="1"/>
  <c r="E758" i="1"/>
  <c r="H757" i="1"/>
  <c r="G757" i="1"/>
  <c r="F757" i="1"/>
  <c r="E757" i="1"/>
  <c r="H756" i="1"/>
  <c r="G756" i="1"/>
  <c r="F756" i="1"/>
  <c r="E756" i="1"/>
  <c r="H755" i="1"/>
  <c r="G755" i="1"/>
  <c r="F755" i="1"/>
  <c r="E755" i="1"/>
  <c r="H754" i="1"/>
  <c r="G754" i="1"/>
  <c r="F754" i="1"/>
  <c r="E754" i="1"/>
  <c r="H753" i="1"/>
  <c r="G753" i="1"/>
  <c r="F753" i="1"/>
  <c r="E753" i="1"/>
  <c r="H752" i="1"/>
  <c r="G752" i="1"/>
  <c r="F752" i="1"/>
  <c r="E752" i="1"/>
  <c r="H751" i="1"/>
  <c r="G751" i="1"/>
  <c r="F751" i="1"/>
  <c r="E751" i="1"/>
  <c r="H750" i="1"/>
  <c r="G750" i="1"/>
  <c r="F750" i="1"/>
  <c r="E750" i="1"/>
  <c r="H749" i="1"/>
  <c r="G749" i="1"/>
  <c r="F749" i="1"/>
  <c r="E749" i="1"/>
  <c r="H748" i="1"/>
  <c r="G748" i="1"/>
  <c r="F748" i="1"/>
  <c r="E748" i="1"/>
  <c r="H747" i="1"/>
  <c r="G747" i="1"/>
  <c r="F747" i="1"/>
  <c r="E747" i="1"/>
  <c r="H746" i="1"/>
  <c r="G746" i="1"/>
  <c r="F746" i="1"/>
  <c r="E746" i="1"/>
  <c r="H745" i="1"/>
  <c r="G745" i="1"/>
  <c r="F745" i="1"/>
  <c r="E745" i="1"/>
  <c r="H744" i="1"/>
  <c r="G744" i="1"/>
  <c r="F744" i="1"/>
  <c r="E744" i="1"/>
  <c r="H743" i="1"/>
  <c r="G743" i="1"/>
  <c r="F743" i="1"/>
  <c r="E743" i="1"/>
  <c r="H742" i="1"/>
  <c r="G742" i="1"/>
  <c r="F742" i="1"/>
  <c r="E742" i="1"/>
  <c r="H741" i="1"/>
  <c r="G741" i="1"/>
  <c r="F741" i="1"/>
  <c r="E741" i="1"/>
  <c r="H740" i="1"/>
  <c r="G740" i="1"/>
  <c r="F740" i="1"/>
  <c r="E740" i="1"/>
  <c r="H739" i="1"/>
  <c r="G739" i="1"/>
  <c r="F739" i="1"/>
  <c r="E739" i="1"/>
  <c r="H738" i="1"/>
  <c r="G738" i="1"/>
  <c r="F738" i="1"/>
  <c r="E738" i="1"/>
  <c r="H737" i="1"/>
  <c r="G737" i="1"/>
  <c r="F737" i="1"/>
  <c r="E737" i="1"/>
  <c r="H736" i="1"/>
  <c r="G736" i="1"/>
  <c r="F736" i="1"/>
  <c r="E736" i="1"/>
  <c r="H735" i="1"/>
  <c r="G735" i="1"/>
  <c r="F735" i="1"/>
  <c r="E735" i="1"/>
  <c r="H734" i="1"/>
  <c r="G734" i="1"/>
  <c r="F734" i="1"/>
  <c r="E734" i="1"/>
  <c r="H733" i="1"/>
  <c r="G733" i="1"/>
  <c r="F733" i="1"/>
  <c r="E733" i="1"/>
  <c r="H732" i="1"/>
  <c r="G732" i="1"/>
  <c r="F732" i="1"/>
  <c r="E732" i="1"/>
  <c r="H731" i="1"/>
  <c r="G731" i="1"/>
  <c r="F731" i="1"/>
  <c r="E731" i="1"/>
  <c r="H730" i="1"/>
  <c r="G730" i="1"/>
  <c r="F730" i="1"/>
  <c r="E730" i="1"/>
  <c r="H729" i="1"/>
  <c r="G729" i="1"/>
  <c r="F729" i="1"/>
  <c r="E729" i="1"/>
  <c r="H728" i="1"/>
  <c r="G728" i="1"/>
  <c r="F728" i="1"/>
  <c r="E728" i="1"/>
  <c r="H727" i="1"/>
  <c r="G727" i="1"/>
  <c r="F727" i="1"/>
  <c r="E727" i="1"/>
  <c r="H726" i="1"/>
  <c r="G726" i="1"/>
  <c r="F726" i="1"/>
  <c r="E726" i="1"/>
  <c r="H725" i="1"/>
  <c r="G725" i="1"/>
  <c r="F725" i="1"/>
  <c r="E725" i="1"/>
  <c r="H724" i="1"/>
  <c r="G724" i="1"/>
  <c r="F724" i="1"/>
  <c r="E724" i="1"/>
  <c r="H723" i="1"/>
  <c r="G723" i="1"/>
  <c r="F723" i="1"/>
  <c r="E723" i="1"/>
  <c r="H722" i="1"/>
  <c r="G722" i="1"/>
  <c r="F722" i="1"/>
  <c r="E722" i="1"/>
  <c r="H721" i="1"/>
  <c r="G721" i="1"/>
  <c r="F721" i="1"/>
  <c r="E721" i="1"/>
  <c r="H720" i="1"/>
  <c r="G720" i="1"/>
  <c r="F720" i="1"/>
  <c r="E720" i="1"/>
  <c r="H719" i="1"/>
  <c r="G719" i="1"/>
  <c r="F719" i="1"/>
  <c r="E719" i="1"/>
  <c r="H718" i="1"/>
  <c r="G718" i="1"/>
  <c r="F718" i="1"/>
  <c r="E718" i="1"/>
  <c r="H717" i="1"/>
  <c r="G717" i="1"/>
  <c r="F717" i="1"/>
  <c r="E717" i="1"/>
  <c r="H716" i="1"/>
  <c r="G716" i="1"/>
  <c r="F716" i="1"/>
  <c r="E716" i="1"/>
  <c r="H715" i="1"/>
  <c r="G715" i="1"/>
  <c r="F715" i="1"/>
  <c r="E715" i="1"/>
  <c r="H714" i="1"/>
  <c r="G714" i="1"/>
  <c r="F714" i="1"/>
  <c r="E714" i="1"/>
  <c r="H713" i="1"/>
  <c r="G713" i="1"/>
  <c r="F713" i="1"/>
  <c r="E713" i="1"/>
  <c r="H712" i="1"/>
  <c r="G712" i="1"/>
  <c r="F712" i="1"/>
  <c r="E712" i="1"/>
  <c r="H711" i="1"/>
  <c r="G711" i="1"/>
  <c r="F711" i="1"/>
  <c r="E711" i="1"/>
  <c r="H710" i="1"/>
  <c r="G710" i="1"/>
  <c r="F710" i="1"/>
  <c r="E710" i="1"/>
  <c r="H709" i="1"/>
  <c r="G709" i="1"/>
  <c r="F709" i="1"/>
  <c r="E709" i="1"/>
  <c r="H708" i="1"/>
  <c r="G708" i="1"/>
  <c r="F708" i="1"/>
  <c r="E708" i="1"/>
  <c r="H707" i="1"/>
  <c r="G707" i="1"/>
  <c r="F707" i="1"/>
  <c r="E707" i="1"/>
  <c r="H706" i="1"/>
  <c r="G706" i="1"/>
  <c r="F706" i="1"/>
  <c r="E706" i="1"/>
  <c r="H705" i="1"/>
  <c r="G705" i="1"/>
  <c r="F705" i="1"/>
  <c r="E705" i="1"/>
  <c r="H704" i="1"/>
  <c r="G704" i="1"/>
  <c r="F704" i="1"/>
  <c r="E704" i="1"/>
  <c r="H703" i="1"/>
  <c r="G703" i="1"/>
  <c r="F703" i="1"/>
  <c r="E703" i="1"/>
  <c r="H702" i="1"/>
  <c r="G702" i="1"/>
  <c r="F702" i="1"/>
  <c r="E702" i="1"/>
  <c r="H701" i="1"/>
  <c r="G701" i="1"/>
  <c r="F701" i="1"/>
  <c r="E701" i="1"/>
  <c r="H700" i="1"/>
  <c r="G700" i="1"/>
  <c r="F700" i="1"/>
  <c r="E700" i="1"/>
  <c r="H699" i="1"/>
  <c r="G699" i="1"/>
  <c r="F699" i="1"/>
  <c r="E699" i="1"/>
  <c r="H698" i="1"/>
  <c r="G698" i="1"/>
  <c r="F698" i="1"/>
  <c r="E698" i="1"/>
  <c r="H697" i="1"/>
  <c r="G697" i="1"/>
  <c r="F697" i="1"/>
  <c r="E697" i="1"/>
  <c r="H696" i="1"/>
  <c r="G696" i="1"/>
  <c r="F696" i="1"/>
  <c r="E696" i="1"/>
  <c r="H695" i="1"/>
  <c r="G695" i="1"/>
  <c r="F695" i="1"/>
  <c r="E695" i="1"/>
  <c r="H694" i="1"/>
  <c r="G694" i="1"/>
  <c r="F694" i="1"/>
  <c r="E694" i="1"/>
  <c r="H693" i="1"/>
  <c r="G693" i="1"/>
  <c r="F693" i="1"/>
  <c r="E693" i="1"/>
  <c r="H692" i="1"/>
  <c r="G692" i="1"/>
  <c r="F692" i="1"/>
  <c r="E692" i="1"/>
  <c r="H691" i="1"/>
  <c r="G691" i="1"/>
  <c r="F691" i="1"/>
  <c r="E691" i="1"/>
  <c r="H690" i="1"/>
  <c r="G690" i="1"/>
  <c r="F690" i="1"/>
  <c r="E690" i="1"/>
  <c r="H689" i="1"/>
  <c r="G689" i="1"/>
  <c r="F689" i="1"/>
  <c r="E689" i="1"/>
  <c r="H688" i="1"/>
  <c r="G688" i="1"/>
  <c r="F688" i="1"/>
  <c r="E688" i="1"/>
  <c r="H687" i="1"/>
  <c r="G687" i="1"/>
  <c r="F687" i="1"/>
  <c r="E687" i="1"/>
  <c r="H686" i="1"/>
  <c r="G686" i="1"/>
  <c r="F686" i="1"/>
  <c r="E686" i="1"/>
  <c r="H685" i="1"/>
  <c r="G685" i="1"/>
  <c r="F685" i="1"/>
  <c r="E685" i="1"/>
  <c r="H684" i="1"/>
  <c r="G684" i="1"/>
  <c r="F684" i="1"/>
  <c r="E684" i="1"/>
  <c r="H683" i="1"/>
  <c r="G683" i="1"/>
  <c r="F683" i="1"/>
  <c r="E683" i="1"/>
  <c r="H682" i="1"/>
  <c r="G682" i="1"/>
  <c r="F682" i="1"/>
  <c r="E682" i="1"/>
  <c r="H681" i="1"/>
  <c r="G681" i="1"/>
  <c r="F681" i="1"/>
  <c r="E681" i="1"/>
  <c r="H680" i="1"/>
  <c r="G680" i="1"/>
  <c r="F680" i="1"/>
  <c r="E680" i="1"/>
  <c r="H679" i="1"/>
  <c r="G679" i="1"/>
  <c r="F679" i="1"/>
  <c r="E679" i="1"/>
  <c r="H678" i="1"/>
  <c r="G678" i="1"/>
  <c r="F678" i="1"/>
  <c r="E678" i="1"/>
  <c r="H677" i="1"/>
  <c r="G677" i="1"/>
  <c r="F677" i="1"/>
  <c r="E677" i="1"/>
  <c r="H676" i="1"/>
  <c r="G676" i="1"/>
  <c r="F676" i="1"/>
  <c r="E676" i="1"/>
  <c r="H675" i="1"/>
  <c r="G675" i="1"/>
  <c r="F675" i="1"/>
  <c r="E675" i="1"/>
  <c r="H674" i="1"/>
  <c r="G674" i="1"/>
  <c r="F674" i="1"/>
  <c r="E674" i="1"/>
  <c r="H673" i="1"/>
  <c r="G673" i="1"/>
  <c r="F673" i="1"/>
  <c r="E673" i="1"/>
  <c r="H672" i="1"/>
  <c r="G672" i="1"/>
  <c r="F672" i="1"/>
  <c r="E672" i="1"/>
  <c r="H671" i="1"/>
  <c r="G671" i="1"/>
  <c r="F671" i="1"/>
  <c r="E671" i="1"/>
  <c r="H670" i="1"/>
  <c r="G670" i="1"/>
  <c r="F670" i="1"/>
  <c r="E670" i="1"/>
  <c r="H669" i="1"/>
  <c r="G669" i="1"/>
  <c r="F669" i="1"/>
  <c r="E669" i="1"/>
  <c r="H668" i="1"/>
  <c r="G668" i="1"/>
  <c r="F668" i="1"/>
  <c r="E668" i="1"/>
  <c r="H667" i="1"/>
  <c r="G667" i="1"/>
  <c r="F667" i="1"/>
  <c r="E667" i="1"/>
  <c r="H666" i="1"/>
  <c r="G666" i="1"/>
  <c r="F666" i="1"/>
  <c r="E666" i="1"/>
  <c r="H665" i="1"/>
  <c r="G665" i="1"/>
  <c r="F665" i="1"/>
  <c r="E665" i="1"/>
  <c r="H664" i="1"/>
  <c r="G664" i="1"/>
  <c r="F664" i="1"/>
  <c r="E664" i="1"/>
  <c r="H663" i="1"/>
  <c r="G663" i="1"/>
  <c r="F663" i="1"/>
  <c r="E663" i="1"/>
  <c r="H662" i="1"/>
  <c r="G662" i="1"/>
  <c r="F662" i="1"/>
  <c r="E662" i="1"/>
  <c r="H661" i="1"/>
  <c r="G661" i="1"/>
  <c r="F661" i="1"/>
  <c r="E661" i="1"/>
  <c r="H660" i="1"/>
  <c r="G660" i="1"/>
  <c r="F660" i="1"/>
  <c r="E660" i="1"/>
  <c r="H659" i="1"/>
  <c r="G659" i="1"/>
  <c r="F659" i="1"/>
  <c r="E659" i="1"/>
  <c r="H658" i="1"/>
  <c r="G658" i="1"/>
  <c r="F658" i="1"/>
  <c r="E658" i="1"/>
  <c r="H657" i="1"/>
  <c r="G657" i="1"/>
  <c r="F657" i="1"/>
  <c r="E657" i="1"/>
  <c r="H656" i="1"/>
  <c r="G656" i="1"/>
  <c r="F656" i="1"/>
  <c r="E656" i="1"/>
  <c r="H655" i="1"/>
  <c r="G655" i="1"/>
  <c r="F655" i="1"/>
  <c r="E655" i="1"/>
  <c r="H654" i="1"/>
  <c r="G654" i="1"/>
  <c r="F654" i="1"/>
  <c r="E654" i="1"/>
  <c r="H653" i="1"/>
  <c r="G653" i="1"/>
  <c r="F653" i="1"/>
  <c r="E653" i="1"/>
  <c r="H652" i="1"/>
  <c r="G652" i="1"/>
  <c r="F652" i="1"/>
  <c r="E652" i="1"/>
  <c r="H651" i="1"/>
  <c r="G651" i="1"/>
  <c r="F651" i="1"/>
  <c r="E651" i="1"/>
  <c r="H650" i="1"/>
  <c r="G650" i="1"/>
  <c r="F650" i="1"/>
  <c r="E650" i="1"/>
  <c r="H649" i="1"/>
  <c r="G649" i="1"/>
  <c r="F649" i="1"/>
  <c r="E649" i="1"/>
  <c r="H648" i="1"/>
  <c r="G648" i="1"/>
  <c r="F648" i="1"/>
  <c r="E648" i="1"/>
  <c r="H647" i="1"/>
  <c r="G647" i="1"/>
  <c r="F647" i="1"/>
  <c r="E647" i="1"/>
  <c r="H646" i="1"/>
  <c r="G646" i="1"/>
  <c r="F646" i="1"/>
  <c r="E646" i="1"/>
  <c r="H645" i="1"/>
  <c r="G645" i="1"/>
  <c r="F645" i="1"/>
  <c r="E645" i="1"/>
  <c r="H644" i="1"/>
  <c r="G644" i="1"/>
  <c r="F644" i="1"/>
  <c r="E644" i="1"/>
  <c r="H643" i="1"/>
  <c r="G643" i="1"/>
  <c r="F643" i="1"/>
  <c r="E643" i="1"/>
  <c r="H642" i="1"/>
  <c r="G642" i="1"/>
  <c r="F642" i="1"/>
  <c r="E642" i="1"/>
  <c r="H641" i="1"/>
  <c r="G641" i="1"/>
  <c r="F641" i="1"/>
  <c r="E641" i="1"/>
  <c r="H640" i="1"/>
  <c r="G640" i="1"/>
  <c r="F640" i="1"/>
  <c r="E640" i="1"/>
  <c r="H639" i="1"/>
  <c r="G639" i="1"/>
  <c r="F639" i="1"/>
  <c r="E639" i="1"/>
  <c r="H638" i="1"/>
  <c r="G638" i="1"/>
  <c r="F638" i="1"/>
  <c r="E638" i="1"/>
  <c r="H637" i="1"/>
  <c r="G637" i="1"/>
  <c r="F637" i="1"/>
  <c r="E637" i="1"/>
  <c r="H636" i="1"/>
  <c r="G636" i="1"/>
  <c r="F636" i="1"/>
  <c r="E636" i="1"/>
  <c r="H635" i="1"/>
  <c r="G635" i="1"/>
  <c r="F635" i="1"/>
  <c r="E635" i="1"/>
  <c r="H634" i="1"/>
  <c r="G634" i="1"/>
  <c r="F634" i="1"/>
  <c r="E634" i="1"/>
  <c r="H633" i="1"/>
  <c r="G633" i="1"/>
  <c r="F633" i="1"/>
  <c r="E633" i="1"/>
  <c r="H632" i="1"/>
  <c r="G632" i="1"/>
  <c r="F632" i="1"/>
  <c r="E632" i="1"/>
  <c r="H631" i="1"/>
  <c r="G631" i="1"/>
  <c r="F631" i="1"/>
  <c r="E631" i="1"/>
  <c r="H630" i="1"/>
  <c r="G630" i="1"/>
  <c r="F630" i="1"/>
  <c r="E630" i="1"/>
  <c r="H629" i="1"/>
  <c r="G629" i="1"/>
  <c r="F629" i="1"/>
  <c r="E629" i="1"/>
  <c r="H628" i="1"/>
  <c r="G628" i="1"/>
  <c r="F628" i="1"/>
  <c r="E628" i="1"/>
  <c r="H627" i="1"/>
  <c r="G627" i="1"/>
  <c r="F627" i="1"/>
  <c r="E627" i="1"/>
  <c r="H626" i="1"/>
  <c r="G626" i="1"/>
  <c r="F626" i="1"/>
  <c r="E626" i="1"/>
  <c r="H625" i="1"/>
  <c r="G625" i="1"/>
  <c r="F625" i="1"/>
  <c r="E625" i="1"/>
  <c r="H624" i="1"/>
  <c r="G624" i="1"/>
  <c r="F624" i="1"/>
  <c r="E624" i="1"/>
  <c r="H623" i="1"/>
  <c r="G623" i="1"/>
  <c r="F623" i="1"/>
  <c r="E623" i="1"/>
  <c r="H622" i="1"/>
  <c r="G622" i="1"/>
  <c r="F622" i="1"/>
  <c r="E622" i="1"/>
  <c r="H621" i="1"/>
  <c r="G621" i="1"/>
  <c r="F621" i="1"/>
  <c r="E621" i="1"/>
  <c r="H620" i="1"/>
  <c r="G620" i="1"/>
  <c r="F620" i="1"/>
  <c r="E620" i="1"/>
  <c r="H619" i="1"/>
  <c r="G619" i="1"/>
  <c r="F619" i="1"/>
  <c r="E619" i="1"/>
  <c r="H618" i="1"/>
  <c r="G618" i="1"/>
  <c r="F618" i="1"/>
  <c r="E618" i="1"/>
  <c r="H617" i="1"/>
  <c r="G617" i="1"/>
  <c r="F617" i="1"/>
  <c r="E617" i="1"/>
  <c r="H616" i="1"/>
  <c r="G616" i="1"/>
  <c r="F616" i="1"/>
  <c r="E616" i="1"/>
  <c r="H615" i="1"/>
  <c r="G615" i="1"/>
  <c r="F615" i="1"/>
  <c r="E615" i="1"/>
  <c r="H614" i="1"/>
  <c r="G614" i="1"/>
  <c r="F614" i="1"/>
  <c r="E614" i="1"/>
  <c r="H613" i="1"/>
  <c r="G613" i="1"/>
  <c r="F613" i="1"/>
  <c r="E613" i="1"/>
  <c r="H612" i="1"/>
  <c r="G612" i="1"/>
  <c r="F612" i="1"/>
  <c r="E612" i="1"/>
  <c r="H611" i="1"/>
  <c r="G611" i="1"/>
  <c r="F611" i="1"/>
  <c r="E611" i="1"/>
  <c r="H610" i="1"/>
  <c r="G610" i="1"/>
  <c r="F610" i="1"/>
  <c r="E610" i="1"/>
  <c r="H609" i="1"/>
  <c r="G609" i="1"/>
  <c r="F609" i="1"/>
  <c r="E609" i="1"/>
  <c r="H608" i="1"/>
  <c r="G608" i="1"/>
  <c r="F608" i="1"/>
  <c r="E608" i="1"/>
  <c r="H607" i="1"/>
  <c r="G607" i="1"/>
  <c r="F607" i="1"/>
  <c r="E607" i="1"/>
  <c r="H606" i="1"/>
  <c r="G606" i="1"/>
  <c r="F606" i="1"/>
  <c r="E606" i="1"/>
  <c r="H605" i="1"/>
  <c r="G605" i="1"/>
  <c r="F605" i="1"/>
  <c r="E605" i="1"/>
  <c r="H604" i="1"/>
  <c r="G604" i="1"/>
  <c r="F604" i="1"/>
  <c r="E604" i="1"/>
  <c r="H603" i="1"/>
  <c r="G603" i="1"/>
  <c r="F603" i="1"/>
  <c r="E603" i="1"/>
  <c r="H602" i="1"/>
  <c r="G602" i="1"/>
  <c r="F602" i="1"/>
  <c r="E602" i="1"/>
  <c r="H601" i="1"/>
  <c r="G601" i="1"/>
  <c r="F601" i="1"/>
  <c r="E601" i="1"/>
  <c r="H600" i="1"/>
  <c r="G600" i="1"/>
  <c r="F600" i="1"/>
  <c r="E600" i="1"/>
  <c r="H599" i="1"/>
  <c r="G599" i="1"/>
  <c r="F599" i="1"/>
  <c r="E599" i="1"/>
  <c r="H598" i="1"/>
  <c r="G598" i="1"/>
  <c r="F598" i="1"/>
  <c r="E598" i="1"/>
  <c r="H597" i="1"/>
  <c r="G597" i="1"/>
  <c r="F597" i="1"/>
  <c r="E597" i="1"/>
  <c r="H596" i="1"/>
  <c r="G596" i="1"/>
  <c r="F596" i="1"/>
  <c r="E596" i="1"/>
  <c r="H595" i="1"/>
  <c r="G595" i="1"/>
  <c r="F595" i="1"/>
  <c r="E595" i="1"/>
  <c r="H594" i="1"/>
  <c r="G594" i="1"/>
  <c r="F594" i="1"/>
  <c r="E594" i="1"/>
  <c r="H593" i="1"/>
  <c r="G593" i="1"/>
  <c r="F593" i="1"/>
  <c r="E593" i="1"/>
  <c r="H592" i="1"/>
  <c r="G592" i="1"/>
  <c r="F592" i="1"/>
  <c r="E592" i="1"/>
  <c r="H591" i="1"/>
  <c r="G591" i="1"/>
  <c r="F591" i="1"/>
  <c r="E591" i="1"/>
  <c r="H590" i="1"/>
  <c r="G590" i="1"/>
  <c r="F590" i="1"/>
  <c r="E590" i="1"/>
  <c r="H589" i="1"/>
  <c r="G589" i="1"/>
  <c r="F589" i="1"/>
  <c r="E589" i="1"/>
  <c r="H588" i="1"/>
  <c r="G588" i="1"/>
  <c r="F588" i="1"/>
  <c r="E588" i="1"/>
  <c r="H587" i="1"/>
  <c r="G587" i="1"/>
  <c r="F587" i="1"/>
  <c r="E587" i="1"/>
  <c r="H586" i="1"/>
  <c r="G586" i="1"/>
  <c r="F586" i="1"/>
  <c r="E586" i="1"/>
  <c r="H585" i="1"/>
  <c r="G585" i="1"/>
  <c r="F585" i="1"/>
  <c r="E585" i="1"/>
  <c r="H584" i="1"/>
  <c r="G584" i="1"/>
  <c r="F584" i="1"/>
  <c r="E584" i="1"/>
  <c r="H583" i="1"/>
  <c r="G583" i="1"/>
  <c r="F583" i="1"/>
  <c r="E583" i="1"/>
  <c r="H582" i="1"/>
  <c r="G582" i="1"/>
  <c r="F582" i="1"/>
  <c r="E582" i="1"/>
  <c r="H581" i="1"/>
  <c r="G581" i="1"/>
  <c r="F581" i="1"/>
  <c r="E581" i="1"/>
  <c r="H580" i="1"/>
  <c r="G580" i="1"/>
  <c r="F580" i="1"/>
  <c r="E580" i="1"/>
  <c r="H579" i="1"/>
  <c r="G579" i="1"/>
  <c r="F579" i="1"/>
  <c r="E579" i="1"/>
  <c r="H578" i="1"/>
  <c r="G578" i="1"/>
  <c r="F578" i="1"/>
  <c r="E578" i="1"/>
  <c r="H577" i="1"/>
  <c r="G577" i="1"/>
  <c r="F577" i="1"/>
  <c r="E577" i="1"/>
  <c r="H576" i="1"/>
  <c r="G576" i="1"/>
  <c r="F576" i="1"/>
  <c r="E576" i="1"/>
  <c r="H575" i="1"/>
  <c r="G575" i="1"/>
  <c r="F575" i="1"/>
  <c r="E575" i="1"/>
  <c r="H574" i="1"/>
  <c r="G574" i="1"/>
  <c r="F574" i="1"/>
  <c r="E574" i="1"/>
  <c r="H573" i="1"/>
  <c r="G573" i="1"/>
  <c r="F573" i="1"/>
  <c r="E573" i="1"/>
  <c r="H572" i="1"/>
  <c r="G572" i="1"/>
  <c r="F572" i="1"/>
  <c r="E572" i="1"/>
  <c r="H571" i="1"/>
  <c r="G571" i="1"/>
  <c r="F571" i="1"/>
  <c r="E571" i="1"/>
  <c r="H570" i="1"/>
  <c r="G570" i="1"/>
  <c r="F570" i="1"/>
  <c r="E570" i="1"/>
  <c r="H569" i="1"/>
  <c r="G569" i="1"/>
  <c r="F569" i="1"/>
  <c r="E569" i="1"/>
  <c r="H568" i="1"/>
  <c r="G568" i="1"/>
  <c r="F568" i="1"/>
  <c r="E568" i="1"/>
  <c r="H567" i="1"/>
  <c r="G567" i="1"/>
  <c r="F567" i="1"/>
  <c r="E567" i="1"/>
  <c r="H566" i="1"/>
  <c r="G566" i="1"/>
  <c r="F566" i="1"/>
  <c r="E566" i="1"/>
  <c r="H565" i="1"/>
  <c r="G565" i="1"/>
  <c r="F565" i="1"/>
  <c r="E565" i="1"/>
  <c r="H564" i="1"/>
  <c r="G564" i="1"/>
  <c r="F564" i="1"/>
  <c r="E564" i="1"/>
  <c r="H563" i="1"/>
  <c r="G563" i="1"/>
  <c r="F563" i="1"/>
  <c r="E563" i="1"/>
  <c r="H562" i="1"/>
  <c r="G562" i="1"/>
  <c r="F562" i="1"/>
  <c r="E562" i="1"/>
  <c r="H561" i="1"/>
  <c r="G561" i="1"/>
  <c r="F561" i="1"/>
  <c r="E561" i="1"/>
  <c r="H560" i="1"/>
  <c r="G560" i="1"/>
  <c r="F560" i="1"/>
  <c r="E560" i="1"/>
  <c r="H559" i="1"/>
  <c r="G559" i="1"/>
  <c r="F559" i="1"/>
  <c r="E559" i="1"/>
  <c r="H558" i="1"/>
  <c r="G558" i="1"/>
  <c r="F558" i="1"/>
  <c r="E558" i="1"/>
  <c r="H557" i="1"/>
  <c r="G557" i="1"/>
  <c r="F557" i="1"/>
  <c r="E557" i="1"/>
  <c r="H556" i="1"/>
  <c r="G556" i="1"/>
  <c r="F556" i="1"/>
  <c r="E556" i="1"/>
  <c r="H555" i="1"/>
  <c r="G555" i="1"/>
  <c r="F555" i="1"/>
  <c r="E555" i="1"/>
  <c r="H554" i="1"/>
  <c r="G554" i="1"/>
  <c r="F554" i="1"/>
  <c r="E554" i="1"/>
  <c r="H553" i="1"/>
  <c r="G553" i="1"/>
  <c r="F553" i="1"/>
  <c r="E553" i="1"/>
  <c r="H552" i="1"/>
  <c r="G552" i="1"/>
  <c r="F552" i="1"/>
  <c r="E552" i="1"/>
  <c r="H551" i="1"/>
  <c r="G551" i="1"/>
  <c r="F551" i="1"/>
  <c r="E551" i="1"/>
  <c r="H550" i="1"/>
  <c r="G550" i="1"/>
  <c r="F550" i="1"/>
  <c r="E550" i="1"/>
  <c r="H549" i="1"/>
  <c r="G549" i="1"/>
  <c r="F549" i="1"/>
  <c r="E549" i="1"/>
  <c r="H548" i="1"/>
  <c r="G548" i="1"/>
  <c r="F548" i="1"/>
  <c r="E548" i="1"/>
  <c r="H547" i="1"/>
  <c r="G547" i="1"/>
  <c r="F547" i="1"/>
  <c r="E547" i="1"/>
  <c r="H546" i="1"/>
  <c r="G546" i="1"/>
  <c r="F546" i="1"/>
  <c r="E546" i="1"/>
  <c r="H545" i="1"/>
  <c r="G545" i="1"/>
  <c r="F545" i="1"/>
  <c r="E545" i="1"/>
  <c r="H544" i="1"/>
  <c r="G544" i="1"/>
  <c r="F544" i="1"/>
  <c r="E544" i="1"/>
  <c r="H543" i="1"/>
  <c r="G543" i="1"/>
  <c r="F543" i="1"/>
  <c r="E543" i="1"/>
  <c r="H542" i="1"/>
  <c r="G542" i="1"/>
  <c r="F542" i="1"/>
  <c r="E542" i="1"/>
  <c r="H541" i="1"/>
  <c r="G541" i="1"/>
  <c r="F541" i="1"/>
  <c r="E541" i="1"/>
  <c r="H540" i="1"/>
  <c r="G540" i="1"/>
  <c r="F540" i="1"/>
  <c r="E540" i="1"/>
  <c r="H539" i="1"/>
  <c r="G539" i="1"/>
  <c r="F539" i="1"/>
  <c r="E539" i="1"/>
  <c r="H538" i="1"/>
  <c r="G538" i="1"/>
  <c r="F538" i="1"/>
  <c r="E538" i="1"/>
  <c r="H537" i="1"/>
  <c r="G537" i="1"/>
  <c r="F537" i="1"/>
  <c r="E537" i="1"/>
  <c r="H536" i="1"/>
  <c r="G536" i="1"/>
  <c r="F536" i="1"/>
  <c r="E536" i="1"/>
  <c r="H535" i="1"/>
  <c r="G535" i="1"/>
  <c r="F535" i="1"/>
  <c r="E535" i="1"/>
  <c r="H534" i="1"/>
  <c r="G534" i="1"/>
  <c r="F534" i="1"/>
  <c r="E534" i="1"/>
  <c r="H533" i="1"/>
  <c r="G533" i="1"/>
  <c r="F533" i="1"/>
  <c r="E533" i="1"/>
  <c r="H532" i="1"/>
  <c r="G532" i="1"/>
  <c r="F532" i="1"/>
  <c r="E532" i="1"/>
  <c r="H531" i="1"/>
  <c r="G531" i="1"/>
  <c r="F531" i="1"/>
  <c r="E531" i="1"/>
  <c r="H530" i="1"/>
  <c r="G530" i="1"/>
  <c r="F530" i="1"/>
  <c r="E530" i="1"/>
  <c r="H529" i="1"/>
  <c r="G529" i="1"/>
  <c r="F529" i="1"/>
  <c r="E529" i="1"/>
  <c r="H528" i="1"/>
  <c r="G528" i="1"/>
  <c r="F528" i="1"/>
  <c r="E528" i="1"/>
  <c r="H527" i="1"/>
  <c r="G527" i="1"/>
  <c r="F527" i="1"/>
  <c r="E527" i="1"/>
  <c r="H526" i="1"/>
  <c r="G526" i="1"/>
  <c r="F526" i="1"/>
  <c r="E526" i="1"/>
  <c r="H525" i="1"/>
  <c r="G525" i="1"/>
  <c r="F525" i="1"/>
  <c r="E525" i="1"/>
  <c r="H524" i="1"/>
  <c r="G524" i="1"/>
  <c r="F524" i="1"/>
  <c r="E524" i="1"/>
  <c r="H523" i="1"/>
  <c r="G523" i="1"/>
  <c r="F523" i="1"/>
  <c r="E523" i="1"/>
  <c r="H522" i="1"/>
  <c r="G522" i="1"/>
  <c r="F522" i="1"/>
  <c r="E522" i="1"/>
  <c r="H521" i="1"/>
  <c r="G521" i="1"/>
  <c r="F521" i="1"/>
  <c r="E521" i="1"/>
  <c r="H520" i="1"/>
  <c r="G520" i="1"/>
  <c r="F520" i="1"/>
  <c r="E520" i="1"/>
  <c r="H519" i="1"/>
  <c r="G519" i="1"/>
  <c r="F519" i="1"/>
  <c r="E519" i="1"/>
  <c r="H518" i="1"/>
  <c r="G518" i="1"/>
  <c r="F518" i="1"/>
  <c r="E518" i="1"/>
  <c r="H517" i="1"/>
  <c r="G517" i="1"/>
  <c r="F517" i="1"/>
  <c r="E517" i="1"/>
  <c r="H516" i="1"/>
  <c r="G516" i="1"/>
  <c r="F516" i="1"/>
  <c r="E516" i="1"/>
  <c r="H515" i="1"/>
  <c r="G515" i="1"/>
  <c r="F515" i="1"/>
  <c r="E515" i="1"/>
  <c r="H514" i="1"/>
  <c r="G514" i="1"/>
  <c r="F514" i="1"/>
  <c r="E514" i="1"/>
  <c r="H513" i="1"/>
  <c r="G513" i="1"/>
  <c r="F513" i="1"/>
  <c r="E513" i="1"/>
  <c r="H512" i="1"/>
  <c r="G512" i="1"/>
  <c r="F512" i="1"/>
  <c r="E512" i="1"/>
  <c r="H511" i="1"/>
  <c r="G511" i="1"/>
  <c r="F511" i="1"/>
  <c r="E511" i="1"/>
  <c r="H510" i="1"/>
  <c r="G510" i="1"/>
  <c r="F510" i="1"/>
  <c r="E510" i="1"/>
  <c r="H509" i="1"/>
  <c r="G509" i="1"/>
  <c r="F509" i="1"/>
  <c r="E509" i="1"/>
  <c r="H508" i="1"/>
  <c r="G508" i="1"/>
  <c r="F508" i="1"/>
  <c r="E508" i="1"/>
  <c r="H507" i="1"/>
  <c r="G507" i="1"/>
  <c r="F507" i="1"/>
  <c r="E507" i="1"/>
  <c r="H506" i="1"/>
  <c r="G506" i="1"/>
  <c r="F506" i="1"/>
  <c r="E506" i="1"/>
  <c r="H505" i="1"/>
  <c r="G505" i="1"/>
  <c r="F505" i="1"/>
  <c r="E505" i="1"/>
  <c r="H504" i="1"/>
  <c r="G504" i="1"/>
  <c r="F504" i="1"/>
  <c r="E504" i="1"/>
  <c r="H503" i="1"/>
  <c r="G503" i="1"/>
  <c r="F503" i="1"/>
  <c r="E503" i="1"/>
  <c r="H502" i="1"/>
  <c r="G502" i="1"/>
  <c r="F502" i="1"/>
  <c r="E502" i="1"/>
  <c r="H501" i="1"/>
  <c r="G501" i="1"/>
  <c r="F501" i="1"/>
  <c r="E501" i="1"/>
  <c r="H500" i="1"/>
  <c r="G500" i="1"/>
  <c r="F500" i="1"/>
  <c r="E500" i="1"/>
  <c r="H499" i="1"/>
  <c r="G499" i="1"/>
  <c r="F499" i="1"/>
  <c r="E499" i="1"/>
  <c r="H498" i="1"/>
  <c r="G498" i="1"/>
  <c r="F498" i="1"/>
  <c r="E498" i="1"/>
  <c r="H497" i="1"/>
  <c r="G497" i="1"/>
  <c r="F497" i="1"/>
  <c r="E497" i="1"/>
  <c r="H496" i="1"/>
  <c r="G496" i="1"/>
  <c r="F496" i="1"/>
  <c r="E496" i="1"/>
  <c r="H495" i="1"/>
  <c r="G495" i="1"/>
  <c r="F495" i="1"/>
  <c r="E495" i="1"/>
  <c r="H494" i="1"/>
  <c r="G494" i="1"/>
  <c r="F494" i="1"/>
  <c r="E494" i="1"/>
  <c r="H493" i="1"/>
  <c r="G493" i="1"/>
  <c r="F493" i="1"/>
  <c r="E493" i="1"/>
  <c r="H492" i="1"/>
  <c r="G492" i="1"/>
  <c r="F492" i="1"/>
  <c r="E492" i="1"/>
  <c r="H491" i="1"/>
  <c r="G491" i="1"/>
  <c r="F491" i="1"/>
  <c r="E491" i="1"/>
  <c r="H490" i="1"/>
  <c r="G490" i="1"/>
  <c r="F490" i="1"/>
  <c r="E490" i="1"/>
  <c r="H489" i="1"/>
  <c r="G489" i="1"/>
  <c r="F489" i="1"/>
  <c r="E489" i="1"/>
  <c r="H488" i="1"/>
  <c r="G488" i="1"/>
  <c r="F488" i="1"/>
  <c r="E488" i="1"/>
  <c r="H487" i="1"/>
  <c r="G487" i="1"/>
  <c r="F487" i="1"/>
  <c r="E487" i="1"/>
  <c r="H486" i="1"/>
  <c r="G486" i="1"/>
  <c r="F486" i="1"/>
  <c r="E486" i="1"/>
  <c r="H485" i="1"/>
  <c r="G485" i="1"/>
  <c r="F485" i="1"/>
  <c r="E485" i="1"/>
  <c r="H484" i="1"/>
  <c r="G484" i="1"/>
  <c r="F484" i="1"/>
  <c r="E484" i="1"/>
  <c r="H483" i="1"/>
  <c r="G483" i="1"/>
  <c r="F483" i="1"/>
  <c r="E483" i="1"/>
  <c r="H482" i="1"/>
  <c r="G482" i="1"/>
  <c r="F482" i="1"/>
  <c r="E482" i="1"/>
  <c r="H481" i="1"/>
  <c r="G481" i="1"/>
  <c r="F481" i="1"/>
  <c r="E481" i="1"/>
  <c r="H480" i="1"/>
  <c r="G480" i="1"/>
  <c r="F480" i="1"/>
  <c r="E480" i="1"/>
  <c r="H479" i="1"/>
  <c r="G479" i="1"/>
  <c r="F479" i="1"/>
  <c r="E479" i="1"/>
  <c r="H478" i="1"/>
  <c r="G478" i="1"/>
  <c r="F478" i="1"/>
  <c r="E478" i="1"/>
  <c r="H477" i="1"/>
  <c r="G477" i="1"/>
  <c r="F477" i="1"/>
  <c r="E477" i="1"/>
  <c r="H476" i="1"/>
  <c r="G476" i="1"/>
  <c r="F476" i="1"/>
  <c r="E476" i="1"/>
  <c r="H475" i="1"/>
  <c r="G475" i="1"/>
  <c r="F475" i="1"/>
  <c r="E475" i="1"/>
  <c r="H474" i="1"/>
  <c r="G474" i="1"/>
  <c r="F474" i="1"/>
  <c r="E474" i="1"/>
  <c r="H473" i="1"/>
  <c r="G473" i="1"/>
  <c r="F473" i="1"/>
  <c r="E473" i="1"/>
  <c r="H472" i="1"/>
  <c r="G472" i="1"/>
  <c r="F472" i="1"/>
  <c r="E472" i="1"/>
  <c r="H471" i="1"/>
  <c r="G471" i="1"/>
  <c r="F471" i="1"/>
  <c r="E471" i="1"/>
  <c r="H470" i="1"/>
  <c r="G470" i="1"/>
  <c r="F470" i="1"/>
  <c r="E470" i="1"/>
  <c r="H469" i="1"/>
  <c r="G469" i="1"/>
  <c r="F469" i="1"/>
  <c r="E469" i="1"/>
  <c r="H468" i="1"/>
  <c r="G468" i="1"/>
  <c r="F468" i="1"/>
  <c r="E468" i="1"/>
  <c r="H467" i="1"/>
  <c r="G467" i="1"/>
  <c r="F467" i="1"/>
  <c r="E467" i="1"/>
  <c r="H466" i="1"/>
  <c r="G466" i="1"/>
  <c r="F466" i="1"/>
  <c r="E466" i="1"/>
  <c r="H465" i="1"/>
  <c r="G465" i="1"/>
  <c r="F465" i="1"/>
  <c r="E465" i="1"/>
  <c r="H464" i="1"/>
  <c r="G464" i="1"/>
  <c r="F464" i="1"/>
  <c r="E464" i="1"/>
  <c r="H463" i="1"/>
  <c r="G463" i="1"/>
  <c r="F463" i="1"/>
  <c r="E463" i="1"/>
  <c r="H462" i="1"/>
  <c r="G462" i="1"/>
  <c r="F462" i="1"/>
  <c r="E462" i="1"/>
  <c r="H461" i="1"/>
  <c r="G461" i="1"/>
  <c r="F461" i="1"/>
  <c r="E461" i="1"/>
  <c r="H460" i="1"/>
  <c r="G460" i="1"/>
  <c r="F460" i="1"/>
  <c r="E460" i="1"/>
  <c r="H459" i="1"/>
  <c r="G459" i="1"/>
  <c r="F459" i="1"/>
  <c r="E459" i="1"/>
  <c r="H458" i="1"/>
  <c r="G458" i="1"/>
  <c r="F458" i="1"/>
  <c r="E458" i="1"/>
  <c r="H457" i="1"/>
  <c r="G457" i="1"/>
  <c r="F457" i="1"/>
  <c r="E457" i="1"/>
  <c r="H456" i="1"/>
  <c r="G456" i="1"/>
  <c r="F456" i="1"/>
  <c r="E456" i="1"/>
  <c r="H455" i="1"/>
  <c r="G455" i="1"/>
  <c r="F455" i="1"/>
  <c r="E455" i="1"/>
  <c r="H454" i="1"/>
  <c r="G454" i="1"/>
  <c r="F454" i="1"/>
  <c r="E454" i="1"/>
  <c r="H453" i="1"/>
  <c r="G453" i="1"/>
  <c r="F453" i="1"/>
  <c r="E453" i="1"/>
  <c r="H452" i="1"/>
  <c r="G452" i="1"/>
  <c r="F452" i="1"/>
  <c r="E452" i="1"/>
  <c r="H451" i="1"/>
  <c r="G451" i="1"/>
  <c r="F451" i="1"/>
  <c r="E451" i="1"/>
  <c r="H450" i="1"/>
  <c r="G450" i="1"/>
  <c r="F450" i="1"/>
  <c r="E450" i="1"/>
  <c r="H449" i="1"/>
  <c r="G449" i="1"/>
  <c r="F449" i="1"/>
  <c r="E449" i="1"/>
  <c r="H448" i="1"/>
  <c r="G448" i="1"/>
  <c r="F448" i="1"/>
  <c r="E448" i="1"/>
  <c r="H447" i="1"/>
  <c r="G447" i="1"/>
  <c r="F447" i="1"/>
  <c r="E447" i="1"/>
  <c r="H446" i="1"/>
  <c r="G446" i="1"/>
  <c r="F446" i="1"/>
  <c r="E446" i="1"/>
  <c r="H445" i="1"/>
  <c r="G445" i="1"/>
  <c r="F445" i="1"/>
  <c r="E445" i="1"/>
  <c r="H444" i="1"/>
  <c r="G444" i="1"/>
  <c r="F444" i="1"/>
  <c r="E444" i="1"/>
  <c r="H443" i="1"/>
  <c r="G443" i="1"/>
  <c r="F443" i="1"/>
  <c r="E443" i="1"/>
  <c r="H442" i="1"/>
  <c r="G442" i="1"/>
  <c r="F442" i="1"/>
  <c r="E442" i="1"/>
  <c r="H441" i="1"/>
  <c r="G441" i="1"/>
  <c r="F441" i="1"/>
  <c r="E441" i="1"/>
  <c r="H440" i="1"/>
  <c r="G440" i="1"/>
  <c r="F440" i="1"/>
  <c r="E440" i="1"/>
  <c r="H439" i="1"/>
  <c r="G439" i="1"/>
  <c r="F439" i="1"/>
  <c r="E439" i="1"/>
  <c r="H438" i="1"/>
  <c r="G438" i="1"/>
  <c r="F438" i="1"/>
  <c r="E438" i="1"/>
  <c r="H437" i="1"/>
  <c r="G437" i="1"/>
  <c r="F437" i="1"/>
  <c r="E437" i="1"/>
  <c r="H436" i="1"/>
  <c r="G436" i="1"/>
  <c r="F436" i="1"/>
  <c r="E436" i="1"/>
  <c r="H435" i="1"/>
  <c r="G435" i="1"/>
  <c r="F435" i="1"/>
  <c r="E435" i="1"/>
  <c r="H434" i="1"/>
  <c r="G434" i="1"/>
  <c r="F434" i="1"/>
  <c r="E434" i="1"/>
  <c r="H433" i="1"/>
  <c r="G433" i="1"/>
  <c r="F433" i="1"/>
  <c r="E433" i="1"/>
  <c r="H432" i="1"/>
  <c r="G432" i="1"/>
  <c r="F432" i="1"/>
  <c r="E432" i="1"/>
  <c r="H431" i="1"/>
  <c r="G431" i="1"/>
  <c r="F431" i="1"/>
  <c r="E431" i="1"/>
  <c r="H430" i="1"/>
  <c r="G430" i="1"/>
  <c r="F430" i="1"/>
  <c r="E430" i="1"/>
  <c r="H429" i="1"/>
  <c r="G429" i="1"/>
  <c r="F429" i="1"/>
  <c r="E429" i="1"/>
  <c r="H428" i="1"/>
  <c r="G428" i="1"/>
  <c r="F428" i="1"/>
  <c r="E428" i="1"/>
  <c r="H427" i="1"/>
  <c r="G427" i="1"/>
  <c r="F427" i="1"/>
  <c r="E427" i="1"/>
  <c r="H426" i="1"/>
  <c r="G426" i="1"/>
  <c r="F426" i="1"/>
  <c r="E426" i="1"/>
  <c r="H425" i="1"/>
  <c r="G425" i="1"/>
  <c r="F425" i="1"/>
  <c r="E425" i="1"/>
  <c r="H424" i="1"/>
  <c r="G424" i="1"/>
  <c r="F424" i="1"/>
  <c r="E424" i="1"/>
  <c r="H423" i="1"/>
  <c r="G423" i="1"/>
  <c r="F423" i="1"/>
  <c r="E423" i="1"/>
  <c r="H422" i="1"/>
  <c r="G422" i="1"/>
  <c r="F422" i="1"/>
  <c r="E422" i="1"/>
  <c r="H421" i="1"/>
  <c r="G421" i="1"/>
  <c r="F421" i="1"/>
  <c r="E421" i="1"/>
  <c r="H420" i="1"/>
  <c r="G420" i="1"/>
  <c r="F420" i="1"/>
  <c r="E420" i="1"/>
  <c r="H419" i="1"/>
  <c r="G419" i="1"/>
  <c r="F419" i="1"/>
  <c r="E419" i="1"/>
  <c r="H418" i="1"/>
  <c r="G418" i="1"/>
  <c r="F418" i="1"/>
  <c r="E418" i="1"/>
  <c r="H417" i="1"/>
  <c r="G417" i="1"/>
  <c r="F417" i="1"/>
  <c r="E417" i="1"/>
  <c r="H416" i="1"/>
  <c r="G416" i="1"/>
  <c r="F416" i="1"/>
  <c r="E416" i="1"/>
  <c r="H415" i="1"/>
  <c r="G415" i="1"/>
  <c r="F415" i="1"/>
  <c r="E415" i="1"/>
  <c r="H414" i="1"/>
  <c r="G414" i="1"/>
  <c r="F414" i="1"/>
  <c r="E414" i="1"/>
  <c r="H413" i="1"/>
  <c r="G413" i="1"/>
  <c r="F413" i="1"/>
  <c r="E413" i="1"/>
  <c r="H412" i="1"/>
  <c r="G412" i="1"/>
  <c r="F412" i="1"/>
  <c r="E412" i="1"/>
  <c r="H411" i="1"/>
  <c r="G411" i="1"/>
  <c r="F411" i="1"/>
  <c r="E411" i="1"/>
  <c r="H410" i="1"/>
  <c r="G410" i="1"/>
  <c r="F410" i="1"/>
  <c r="E410" i="1"/>
  <c r="H409" i="1"/>
  <c r="G409" i="1"/>
  <c r="F409" i="1"/>
  <c r="E409" i="1"/>
  <c r="H408" i="1"/>
  <c r="G408" i="1"/>
  <c r="F408" i="1"/>
  <c r="E408" i="1"/>
  <c r="H407" i="1"/>
  <c r="G407" i="1"/>
  <c r="F407" i="1"/>
  <c r="E407" i="1"/>
  <c r="H406" i="1"/>
  <c r="G406" i="1"/>
  <c r="F406" i="1"/>
  <c r="E406" i="1"/>
  <c r="H405" i="1"/>
  <c r="G405" i="1"/>
  <c r="F405" i="1"/>
  <c r="E405" i="1"/>
  <c r="H404" i="1"/>
  <c r="G404" i="1"/>
  <c r="F404" i="1"/>
  <c r="E404" i="1"/>
  <c r="H403" i="1"/>
  <c r="G403" i="1"/>
  <c r="F403" i="1"/>
  <c r="E403" i="1"/>
  <c r="H402" i="1"/>
  <c r="G402" i="1"/>
  <c r="F402" i="1"/>
  <c r="E402" i="1"/>
  <c r="H401" i="1"/>
  <c r="G401" i="1"/>
  <c r="F401" i="1"/>
  <c r="E401" i="1"/>
  <c r="H400" i="1"/>
  <c r="G400" i="1"/>
  <c r="F400" i="1"/>
  <c r="E400" i="1"/>
  <c r="H399" i="1"/>
  <c r="G399" i="1"/>
  <c r="F399" i="1"/>
  <c r="E399" i="1"/>
  <c r="H398" i="1"/>
  <c r="G398" i="1"/>
  <c r="F398" i="1"/>
  <c r="E398" i="1"/>
  <c r="H397" i="1"/>
  <c r="G397" i="1"/>
  <c r="F397" i="1"/>
  <c r="E397" i="1"/>
  <c r="H396" i="1"/>
  <c r="G396" i="1"/>
  <c r="F396" i="1"/>
  <c r="E396" i="1"/>
  <c r="H395" i="1"/>
  <c r="G395" i="1"/>
  <c r="F395" i="1"/>
  <c r="E395" i="1"/>
  <c r="H394" i="1"/>
  <c r="G394" i="1"/>
  <c r="F394" i="1"/>
  <c r="E394" i="1"/>
  <c r="H393" i="1"/>
  <c r="G393" i="1"/>
  <c r="F393" i="1"/>
  <c r="E393" i="1"/>
  <c r="H392" i="1"/>
  <c r="G392" i="1"/>
  <c r="F392" i="1"/>
  <c r="E392" i="1"/>
  <c r="H391" i="1"/>
  <c r="G391" i="1"/>
  <c r="F391" i="1"/>
  <c r="E391" i="1"/>
  <c r="H390" i="1"/>
  <c r="G390" i="1"/>
  <c r="F390" i="1"/>
  <c r="E390" i="1"/>
  <c r="H389" i="1"/>
  <c r="G389" i="1"/>
  <c r="F389" i="1"/>
  <c r="E389" i="1"/>
  <c r="H388" i="1"/>
  <c r="G388" i="1"/>
  <c r="F388" i="1"/>
  <c r="E388" i="1"/>
  <c r="H387" i="1"/>
  <c r="G387" i="1"/>
  <c r="F387" i="1"/>
  <c r="E387" i="1"/>
  <c r="H386" i="1"/>
  <c r="G386" i="1"/>
  <c r="F386" i="1"/>
  <c r="E386" i="1"/>
  <c r="H385" i="1"/>
  <c r="G385" i="1"/>
  <c r="F385" i="1"/>
  <c r="E385" i="1"/>
  <c r="H384" i="1"/>
  <c r="G384" i="1"/>
  <c r="F384" i="1"/>
  <c r="E384" i="1"/>
  <c r="H383" i="1"/>
  <c r="G383" i="1"/>
  <c r="F383" i="1"/>
  <c r="E383" i="1"/>
  <c r="H382" i="1"/>
  <c r="G382" i="1"/>
  <c r="F382" i="1"/>
  <c r="E382" i="1"/>
  <c r="H381" i="1"/>
  <c r="G381" i="1"/>
  <c r="F381" i="1"/>
  <c r="E381" i="1"/>
  <c r="H380" i="1"/>
  <c r="G380" i="1"/>
  <c r="F380" i="1"/>
  <c r="E380" i="1"/>
  <c r="H379" i="1"/>
  <c r="G379" i="1"/>
  <c r="F379" i="1"/>
  <c r="E379" i="1"/>
  <c r="H378" i="1"/>
  <c r="G378" i="1"/>
  <c r="F378" i="1"/>
  <c r="E378" i="1"/>
  <c r="H377" i="1"/>
  <c r="G377" i="1"/>
  <c r="F377" i="1"/>
  <c r="E377" i="1"/>
  <c r="H376" i="1"/>
  <c r="G376" i="1"/>
  <c r="F376" i="1"/>
  <c r="E376" i="1"/>
  <c r="H375" i="1"/>
  <c r="G375" i="1"/>
  <c r="F375" i="1"/>
  <c r="E375" i="1"/>
  <c r="H374" i="1"/>
  <c r="G374" i="1"/>
  <c r="F374" i="1"/>
  <c r="E374" i="1"/>
  <c r="H373" i="1"/>
  <c r="G373" i="1"/>
  <c r="F373" i="1"/>
  <c r="E373" i="1"/>
  <c r="H372" i="1"/>
  <c r="G372" i="1"/>
  <c r="F372" i="1"/>
  <c r="E372" i="1"/>
  <c r="H371" i="1"/>
  <c r="G371" i="1"/>
  <c r="F371" i="1"/>
  <c r="E371" i="1"/>
  <c r="H370" i="1"/>
  <c r="G370" i="1"/>
  <c r="F370" i="1"/>
  <c r="E370" i="1"/>
  <c r="H369" i="1"/>
  <c r="G369" i="1"/>
  <c r="F369" i="1"/>
  <c r="E369" i="1"/>
  <c r="H368" i="1"/>
  <c r="G368" i="1"/>
  <c r="F368" i="1"/>
  <c r="E368" i="1"/>
  <c r="H367" i="1"/>
  <c r="G367" i="1"/>
  <c r="F367" i="1"/>
  <c r="E367" i="1"/>
  <c r="H366" i="1"/>
  <c r="G366" i="1"/>
  <c r="F366" i="1"/>
  <c r="E366" i="1"/>
  <c r="H365" i="1"/>
  <c r="G365" i="1"/>
  <c r="F365" i="1"/>
  <c r="E365" i="1"/>
  <c r="H364" i="1"/>
  <c r="G364" i="1"/>
  <c r="F364" i="1"/>
  <c r="E364" i="1"/>
  <c r="H363" i="1"/>
  <c r="G363" i="1"/>
  <c r="F363" i="1"/>
  <c r="E363" i="1"/>
  <c r="H362" i="1"/>
  <c r="G362" i="1"/>
  <c r="F362" i="1"/>
  <c r="E362" i="1"/>
  <c r="H361" i="1"/>
  <c r="G361" i="1"/>
  <c r="F361" i="1"/>
  <c r="E361" i="1"/>
  <c r="H360" i="1"/>
  <c r="G360" i="1"/>
  <c r="F360" i="1"/>
  <c r="E360" i="1"/>
  <c r="H359" i="1"/>
  <c r="G359" i="1"/>
  <c r="F359" i="1"/>
  <c r="E359" i="1"/>
  <c r="H358" i="1"/>
  <c r="G358" i="1"/>
  <c r="F358" i="1"/>
  <c r="E358" i="1"/>
  <c r="H357" i="1"/>
  <c r="G357" i="1"/>
  <c r="F357" i="1"/>
  <c r="E357" i="1"/>
  <c r="H356" i="1"/>
  <c r="G356" i="1"/>
  <c r="F356" i="1"/>
  <c r="E356" i="1"/>
  <c r="H355" i="1"/>
  <c r="G355" i="1"/>
  <c r="F355" i="1"/>
  <c r="E355" i="1"/>
  <c r="H354" i="1"/>
  <c r="G354" i="1"/>
  <c r="F354" i="1"/>
  <c r="E354" i="1"/>
  <c r="H353" i="1"/>
  <c r="G353" i="1"/>
  <c r="F353" i="1"/>
  <c r="E353" i="1"/>
  <c r="H352" i="1"/>
  <c r="G352" i="1"/>
  <c r="F352" i="1"/>
  <c r="E352" i="1"/>
  <c r="H351" i="1"/>
  <c r="G351" i="1"/>
  <c r="F351" i="1"/>
  <c r="E351" i="1"/>
  <c r="H350" i="1"/>
  <c r="G350" i="1"/>
  <c r="F350" i="1"/>
  <c r="E350" i="1"/>
  <c r="H349" i="1"/>
  <c r="G349" i="1"/>
  <c r="F349" i="1"/>
  <c r="E349" i="1"/>
  <c r="H348" i="1"/>
  <c r="G348" i="1"/>
  <c r="F348" i="1"/>
  <c r="E348" i="1"/>
  <c r="H347" i="1"/>
  <c r="G347" i="1"/>
  <c r="F347" i="1"/>
  <c r="E347" i="1"/>
  <c r="H346" i="1"/>
  <c r="G346" i="1"/>
  <c r="F346" i="1"/>
  <c r="E346" i="1"/>
  <c r="H345" i="1"/>
  <c r="G345" i="1"/>
  <c r="F345" i="1"/>
  <c r="E345" i="1"/>
  <c r="H344" i="1"/>
  <c r="G344" i="1"/>
  <c r="F344" i="1"/>
  <c r="E344" i="1"/>
  <c r="H343" i="1"/>
  <c r="G343" i="1"/>
  <c r="F343" i="1"/>
  <c r="E343" i="1"/>
  <c r="H342" i="1"/>
  <c r="G342" i="1"/>
  <c r="F342" i="1"/>
  <c r="E342" i="1"/>
  <c r="H341" i="1"/>
  <c r="G341" i="1"/>
  <c r="F341" i="1"/>
  <c r="E341" i="1"/>
  <c r="H340" i="1"/>
  <c r="G340" i="1"/>
  <c r="F340" i="1"/>
  <c r="E340" i="1"/>
  <c r="H339" i="1"/>
  <c r="G339" i="1"/>
  <c r="F339" i="1"/>
  <c r="E339" i="1"/>
  <c r="H338" i="1"/>
  <c r="G338" i="1"/>
  <c r="F338" i="1"/>
  <c r="E338" i="1"/>
  <c r="H337" i="1"/>
  <c r="G337" i="1"/>
  <c r="F337" i="1"/>
  <c r="E337" i="1"/>
  <c r="H336" i="1"/>
  <c r="G336" i="1"/>
  <c r="F336" i="1"/>
  <c r="E336" i="1"/>
  <c r="H335" i="1"/>
  <c r="G335" i="1"/>
  <c r="F335" i="1"/>
  <c r="E335" i="1"/>
  <c r="H334" i="1"/>
  <c r="G334" i="1"/>
  <c r="F334" i="1"/>
  <c r="E334" i="1"/>
  <c r="H333" i="1"/>
  <c r="G333" i="1"/>
  <c r="F333" i="1"/>
  <c r="E333" i="1"/>
  <c r="H332" i="1"/>
  <c r="G332" i="1"/>
  <c r="F332" i="1"/>
  <c r="E332" i="1"/>
  <c r="H331" i="1"/>
  <c r="G331" i="1"/>
  <c r="F331" i="1"/>
  <c r="E331" i="1"/>
  <c r="H330" i="1"/>
  <c r="G330" i="1"/>
  <c r="F330" i="1"/>
  <c r="E330" i="1"/>
  <c r="H329" i="1"/>
  <c r="G329" i="1"/>
  <c r="F329" i="1"/>
  <c r="E329" i="1"/>
  <c r="H328" i="1"/>
  <c r="G328" i="1"/>
  <c r="F328" i="1"/>
  <c r="E328" i="1"/>
  <c r="H327" i="1"/>
  <c r="G327" i="1"/>
  <c r="F327" i="1"/>
  <c r="E327" i="1"/>
  <c r="H326" i="1"/>
  <c r="G326" i="1"/>
  <c r="F326" i="1"/>
  <c r="E326" i="1"/>
  <c r="H325" i="1"/>
  <c r="G325" i="1"/>
  <c r="F325" i="1"/>
  <c r="E325" i="1"/>
  <c r="H324" i="1"/>
  <c r="G324" i="1"/>
  <c r="F324" i="1"/>
  <c r="E324" i="1"/>
  <c r="H323" i="1"/>
  <c r="G323" i="1"/>
  <c r="F323" i="1"/>
  <c r="E323" i="1"/>
  <c r="H322" i="1"/>
  <c r="G322" i="1"/>
  <c r="F322" i="1"/>
  <c r="E322" i="1"/>
  <c r="H321" i="1"/>
  <c r="G321" i="1"/>
  <c r="F321" i="1"/>
  <c r="E321" i="1"/>
  <c r="H320" i="1"/>
  <c r="G320" i="1"/>
  <c r="F320" i="1"/>
  <c r="E320" i="1"/>
  <c r="H319" i="1"/>
  <c r="G319" i="1"/>
  <c r="F319" i="1"/>
  <c r="E319" i="1"/>
  <c r="H318" i="1"/>
  <c r="G318" i="1"/>
  <c r="F318" i="1"/>
  <c r="E318" i="1"/>
  <c r="H317" i="1"/>
  <c r="G317" i="1"/>
  <c r="F317" i="1"/>
  <c r="E317" i="1"/>
  <c r="H316" i="1"/>
  <c r="G316" i="1"/>
  <c r="F316" i="1"/>
  <c r="E316" i="1"/>
  <c r="H315" i="1"/>
  <c r="G315" i="1"/>
  <c r="F315" i="1"/>
  <c r="E315" i="1"/>
  <c r="H314" i="1"/>
  <c r="G314" i="1"/>
  <c r="F314" i="1"/>
  <c r="E314" i="1"/>
  <c r="H313" i="1"/>
  <c r="G313" i="1"/>
  <c r="F313" i="1"/>
  <c r="E313" i="1"/>
  <c r="H312" i="1"/>
  <c r="G312" i="1"/>
  <c r="F312" i="1"/>
  <c r="E312" i="1"/>
  <c r="H311" i="1"/>
  <c r="G311" i="1"/>
  <c r="F311" i="1"/>
  <c r="E311" i="1"/>
  <c r="H310" i="1"/>
  <c r="G310" i="1"/>
  <c r="F310" i="1"/>
  <c r="E310" i="1"/>
  <c r="H309" i="1"/>
  <c r="G309" i="1"/>
  <c r="F309" i="1"/>
  <c r="E309" i="1"/>
  <c r="H308" i="1"/>
  <c r="G308" i="1"/>
  <c r="F308" i="1"/>
  <c r="E308" i="1"/>
  <c r="H307" i="1"/>
  <c r="G307" i="1"/>
  <c r="F307" i="1"/>
  <c r="E307" i="1"/>
  <c r="H306" i="1"/>
  <c r="G306" i="1"/>
  <c r="F306" i="1"/>
  <c r="E306" i="1"/>
  <c r="H305" i="1"/>
  <c r="G305" i="1"/>
  <c r="F305" i="1"/>
  <c r="E305" i="1"/>
  <c r="H304" i="1"/>
  <c r="G304" i="1"/>
  <c r="F304" i="1"/>
  <c r="E304" i="1"/>
  <c r="H303" i="1"/>
  <c r="G303" i="1"/>
  <c r="F303" i="1"/>
  <c r="E303" i="1"/>
  <c r="H302" i="1"/>
  <c r="G302" i="1"/>
  <c r="F302" i="1"/>
  <c r="E302" i="1"/>
  <c r="H301" i="1"/>
  <c r="G301" i="1"/>
  <c r="F301" i="1"/>
  <c r="E301" i="1"/>
  <c r="H300" i="1"/>
  <c r="G300" i="1"/>
  <c r="F300" i="1"/>
  <c r="E300" i="1"/>
  <c r="H299" i="1"/>
  <c r="G299" i="1"/>
  <c r="F299" i="1"/>
  <c r="E299" i="1"/>
  <c r="H298" i="1"/>
  <c r="G298" i="1"/>
  <c r="F298" i="1"/>
  <c r="E298" i="1"/>
  <c r="H297" i="1"/>
  <c r="G297" i="1"/>
  <c r="F297" i="1"/>
  <c r="E297" i="1"/>
  <c r="H296" i="1"/>
  <c r="G296" i="1"/>
  <c r="F296" i="1"/>
  <c r="E296" i="1"/>
  <c r="H295" i="1"/>
  <c r="G295" i="1"/>
  <c r="F295" i="1"/>
  <c r="E295" i="1"/>
  <c r="H294" i="1"/>
  <c r="G294" i="1"/>
  <c r="F294" i="1"/>
  <c r="E294" i="1"/>
  <c r="H293" i="1"/>
  <c r="G293" i="1"/>
  <c r="F293" i="1"/>
  <c r="E293" i="1"/>
  <c r="H292" i="1"/>
  <c r="G292" i="1"/>
  <c r="F292" i="1"/>
  <c r="E292" i="1"/>
  <c r="H291" i="1"/>
  <c r="G291" i="1"/>
  <c r="F291" i="1"/>
  <c r="E291" i="1"/>
  <c r="H290" i="1"/>
  <c r="G290" i="1"/>
  <c r="F290" i="1"/>
  <c r="E290" i="1"/>
  <c r="H289" i="1"/>
  <c r="G289" i="1"/>
  <c r="F289" i="1"/>
  <c r="E289" i="1"/>
  <c r="H288" i="1"/>
  <c r="G288" i="1"/>
  <c r="F288" i="1"/>
  <c r="E288" i="1"/>
  <c r="H287" i="1"/>
  <c r="G287" i="1"/>
  <c r="F287" i="1"/>
  <c r="E287" i="1"/>
  <c r="H286" i="1"/>
  <c r="G286" i="1"/>
  <c r="F286" i="1"/>
  <c r="E286" i="1"/>
  <c r="H285" i="1"/>
  <c r="G285" i="1"/>
  <c r="F285" i="1"/>
  <c r="E285" i="1"/>
  <c r="H284" i="1"/>
  <c r="G284" i="1"/>
  <c r="F284" i="1"/>
  <c r="E284" i="1"/>
  <c r="H283" i="1"/>
  <c r="G283" i="1"/>
  <c r="F283" i="1"/>
  <c r="E283" i="1"/>
  <c r="H282" i="1"/>
  <c r="G282" i="1"/>
  <c r="F282" i="1"/>
  <c r="E282" i="1"/>
  <c r="H281" i="1"/>
  <c r="G281" i="1"/>
  <c r="F281" i="1"/>
  <c r="E281" i="1"/>
  <c r="H280" i="1"/>
  <c r="G280" i="1"/>
  <c r="F280" i="1"/>
  <c r="E280" i="1"/>
  <c r="H279" i="1"/>
  <c r="G279" i="1"/>
  <c r="F279" i="1"/>
  <c r="E279" i="1"/>
  <c r="H278" i="1"/>
  <c r="G278" i="1"/>
  <c r="F278" i="1"/>
  <c r="E278" i="1"/>
  <c r="H277" i="1"/>
  <c r="G277" i="1"/>
  <c r="F277" i="1"/>
  <c r="E277" i="1"/>
  <c r="H276" i="1"/>
  <c r="G276" i="1"/>
  <c r="F276" i="1"/>
  <c r="E276" i="1"/>
  <c r="H275" i="1"/>
  <c r="G275" i="1"/>
  <c r="F275" i="1"/>
  <c r="E275" i="1"/>
  <c r="H274" i="1"/>
  <c r="G274" i="1"/>
  <c r="F274" i="1"/>
  <c r="E274" i="1"/>
  <c r="H273" i="1"/>
  <c r="G273" i="1"/>
  <c r="F273" i="1"/>
  <c r="E273" i="1"/>
  <c r="H272" i="1"/>
  <c r="G272" i="1"/>
  <c r="F272" i="1"/>
  <c r="E272" i="1"/>
  <c r="H271" i="1"/>
  <c r="G271" i="1"/>
  <c r="F271" i="1"/>
  <c r="E271" i="1"/>
  <c r="H270" i="1"/>
  <c r="G270" i="1"/>
  <c r="F270" i="1"/>
  <c r="E270" i="1"/>
  <c r="H269" i="1"/>
  <c r="G269" i="1"/>
  <c r="F269" i="1"/>
  <c r="E269" i="1"/>
  <c r="H268" i="1"/>
  <c r="G268" i="1"/>
  <c r="F268" i="1"/>
  <c r="E268" i="1"/>
  <c r="H267" i="1"/>
  <c r="G267" i="1"/>
  <c r="F267" i="1"/>
  <c r="E267" i="1"/>
  <c r="H266" i="1"/>
  <c r="G266" i="1"/>
  <c r="F266" i="1"/>
  <c r="E266" i="1"/>
  <c r="H265" i="1"/>
  <c r="G265" i="1"/>
  <c r="F265" i="1"/>
  <c r="E265" i="1"/>
  <c r="H264" i="1"/>
  <c r="G264" i="1"/>
  <c r="F264" i="1"/>
  <c r="E264" i="1"/>
  <c r="H263" i="1"/>
  <c r="G263" i="1"/>
  <c r="F263" i="1"/>
  <c r="E263" i="1"/>
  <c r="H262" i="1"/>
  <c r="G262" i="1"/>
  <c r="F262" i="1"/>
  <c r="E262" i="1"/>
  <c r="H261" i="1"/>
  <c r="G261" i="1"/>
  <c r="F261" i="1"/>
  <c r="E261" i="1"/>
  <c r="H260" i="1"/>
  <c r="G260" i="1"/>
  <c r="F260" i="1"/>
  <c r="E260" i="1"/>
  <c r="H259" i="1"/>
  <c r="G259" i="1"/>
  <c r="F259" i="1"/>
  <c r="E259" i="1"/>
  <c r="H258" i="1"/>
  <c r="G258" i="1"/>
  <c r="F258" i="1"/>
  <c r="E258" i="1"/>
  <c r="H257" i="1"/>
  <c r="G257" i="1"/>
  <c r="F257" i="1"/>
  <c r="E257" i="1"/>
  <c r="H256" i="1"/>
  <c r="G256" i="1"/>
  <c r="F256" i="1"/>
  <c r="E256" i="1"/>
  <c r="H255" i="1"/>
  <c r="G255" i="1"/>
  <c r="F255" i="1"/>
  <c r="E255" i="1"/>
  <c r="H254" i="1"/>
  <c r="G254" i="1"/>
  <c r="F254" i="1"/>
  <c r="E254" i="1"/>
  <c r="H253" i="1"/>
  <c r="G253" i="1"/>
  <c r="F253" i="1"/>
  <c r="E253" i="1"/>
  <c r="H252" i="1"/>
  <c r="G252" i="1"/>
  <c r="F252" i="1"/>
  <c r="E252" i="1"/>
  <c r="H251" i="1"/>
  <c r="G251" i="1"/>
  <c r="F251" i="1"/>
  <c r="E251" i="1"/>
  <c r="H250" i="1"/>
  <c r="G250" i="1"/>
  <c r="F250" i="1"/>
  <c r="E250" i="1"/>
  <c r="H249" i="1"/>
  <c r="G249" i="1"/>
  <c r="F249" i="1"/>
  <c r="E249" i="1"/>
  <c r="H248" i="1"/>
  <c r="G248" i="1"/>
  <c r="F248" i="1"/>
  <c r="E248" i="1"/>
  <c r="H247" i="1"/>
  <c r="G247" i="1"/>
  <c r="F247" i="1"/>
  <c r="E247" i="1"/>
  <c r="H246" i="1"/>
  <c r="G246" i="1"/>
  <c r="F246" i="1"/>
  <c r="E246" i="1"/>
  <c r="H245" i="1"/>
  <c r="G245" i="1"/>
  <c r="F245" i="1"/>
  <c r="E245" i="1"/>
  <c r="H244" i="1"/>
  <c r="G244" i="1"/>
  <c r="F244" i="1"/>
  <c r="E244" i="1"/>
  <c r="H243" i="1"/>
  <c r="G243" i="1"/>
  <c r="F243" i="1"/>
  <c r="E243" i="1"/>
  <c r="H242" i="1"/>
  <c r="G242" i="1"/>
  <c r="F242" i="1"/>
  <c r="E242" i="1"/>
  <c r="H241" i="1"/>
  <c r="G241" i="1"/>
  <c r="F241" i="1"/>
  <c r="E241" i="1"/>
  <c r="H240" i="1"/>
  <c r="G240" i="1"/>
  <c r="F240" i="1"/>
  <c r="E240" i="1"/>
  <c r="H239" i="1"/>
  <c r="G239" i="1"/>
  <c r="F239" i="1"/>
  <c r="E239" i="1"/>
  <c r="H238" i="1"/>
  <c r="G238" i="1"/>
  <c r="F238" i="1"/>
  <c r="E238" i="1"/>
  <c r="H237" i="1"/>
  <c r="G237" i="1"/>
  <c r="F237" i="1"/>
  <c r="E237" i="1"/>
  <c r="H236" i="1"/>
  <c r="G236" i="1"/>
  <c r="F236" i="1"/>
  <c r="E236" i="1"/>
  <c r="H235" i="1"/>
  <c r="G235" i="1"/>
  <c r="F235" i="1"/>
  <c r="E235" i="1"/>
  <c r="H234" i="1"/>
  <c r="G234" i="1"/>
  <c r="F234" i="1"/>
  <c r="E234" i="1"/>
  <c r="H233" i="1"/>
  <c r="G233" i="1"/>
  <c r="F233" i="1"/>
  <c r="E233" i="1"/>
  <c r="H232" i="1"/>
  <c r="G232" i="1"/>
  <c r="F232" i="1"/>
  <c r="E232" i="1"/>
  <c r="H231" i="1"/>
  <c r="G231" i="1"/>
  <c r="F231" i="1"/>
  <c r="E231" i="1"/>
  <c r="H230" i="1"/>
  <c r="G230" i="1"/>
  <c r="F230" i="1"/>
  <c r="E230" i="1"/>
  <c r="H229" i="1"/>
  <c r="G229" i="1"/>
  <c r="F229" i="1"/>
  <c r="E229" i="1"/>
  <c r="H228" i="1"/>
  <c r="G228" i="1"/>
  <c r="F228" i="1"/>
  <c r="E228" i="1"/>
  <c r="H227" i="1"/>
  <c r="G227" i="1"/>
  <c r="F227" i="1"/>
  <c r="E227" i="1"/>
  <c r="H226" i="1"/>
  <c r="G226" i="1"/>
  <c r="F226" i="1"/>
  <c r="E226" i="1"/>
  <c r="H225" i="1"/>
  <c r="G225" i="1"/>
  <c r="F225" i="1"/>
  <c r="E225" i="1"/>
  <c r="H224" i="1"/>
  <c r="G224" i="1"/>
  <c r="F224" i="1"/>
  <c r="E224" i="1"/>
  <c r="H223" i="1"/>
  <c r="G223" i="1"/>
  <c r="F223" i="1"/>
  <c r="E223" i="1"/>
  <c r="H222" i="1"/>
  <c r="G222" i="1"/>
  <c r="F222" i="1"/>
  <c r="E222" i="1"/>
  <c r="H221" i="1"/>
  <c r="G221" i="1"/>
  <c r="F221" i="1"/>
  <c r="E221" i="1"/>
  <c r="H220" i="1"/>
  <c r="G220" i="1"/>
  <c r="F220" i="1"/>
  <c r="E220" i="1"/>
  <c r="H219" i="1"/>
  <c r="G219" i="1"/>
  <c r="F219" i="1"/>
  <c r="E219" i="1"/>
  <c r="H218" i="1"/>
  <c r="G218" i="1"/>
  <c r="F218" i="1"/>
  <c r="E218" i="1"/>
  <c r="H217" i="1"/>
  <c r="G217" i="1"/>
  <c r="F217" i="1"/>
  <c r="E217" i="1"/>
  <c r="H216" i="1"/>
  <c r="G216" i="1"/>
  <c r="F216" i="1"/>
  <c r="E216" i="1"/>
  <c r="H215" i="1"/>
  <c r="G215" i="1"/>
  <c r="F215" i="1"/>
  <c r="E215" i="1"/>
  <c r="H214" i="1"/>
  <c r="G214" i="1"/>
  <c r="F214" i="1"/>
  <c r="E214" i="1"/>
  <c r="H213" i="1"/>
  <c r="G213" i="1"/>
  <c r="F213" i="1"/>
  <c r="E213" i="1"/>
  <c r="H212" i="1"/>
  <c r="G212" i="1"/>
  <c r="F212" i="1"/>
  <c r="E212" i="1"/>
  <c r="H211" i="1"/>
  <c r="G211" i="1"/>
  <c r="F211" i="1"/>
  <c r="E211" i="1"/>
  <c r="H210" i="1"/>
  <c r="G210" i="1"/>
  <c r="F210" i="1"/>
  <c r="E210" i="1"/>
  <c r="H209" i="1"/>
  <c r="G209" i="1"/>
  <c r="F209" i="1"/>
  <c r="E209" i="1"/>
  <c r="H208" i="1"/>
  <c r="G208" i="1"/>
  <c r="F208" i="1"/>
  <c r="E208" i="1"/>
  <c r="H207" i="1"/>
  <c r="G207" i="1"/>
  <c r="F207" i="1"/>
  <c r="E207" i="1"/>
  <c r="H206" i="1"/>
  <c r="G206" i="1"/>
  <c r="F206" i="1"/>
  <c r="E206" i="1"/>
  <c r="H205" i="1"/>
  <c r="G205" i="1"/>
  <c r="F205" i="1"/>
  <c r="E205" i="1"/>
  <c r="H204" i="1"/>
  <c r="G204" i="1"/>
  <c r="F204" i="1"/>
  <c r="E204" i="1"/>
  <c r="H203" i="1"/>
  <c r="G203" i="1"/>
  <c r="F203" i="1"/>
  <c r="E203" i="1"/>
  <c r="H202" i="1"/>
  <c r="G202" i="1"/>
  <c r="F202" i="1"/>
  <c r="E202" i="1"/>
  <c r="H201" i="1"/>
  <c r="G201" i="1"/>
  <c r="F201" i="1"/>
  <c r="E201" i="1"/>
  <c r="H200" i="1"/>
  <c r="G200" i="1"/>
  <c r="F200" i="1"/>
  <c r="E200" i="1"/>
  <c r="H199" i="1"/>
  <c r="G199" i="1"/>
  <c r="F199" i="1"/>
  <c r="E199" i="1"/>
  <c r="H198" i="1"/>
  <c r="G198" i="1"/>
  <c r="F198" i="1"/>
  <c r="E198" i="1"/>
  <c r="H197" i="1"/>
  <c r="G197" i="1"/>
  <c r="F197" i="1"/>
  <c r="E197" i="1"/>
  <c r="H196" i="1"/>
  <c r="G196" i="1"/>
  <c r="F196" i="1"/>
  <c r="E196" i="1"/>
  <c r="H195" i="1"/>
  <c r="G195" i="1"/>
  <c r="F195" i="1"/>
  <c r="E195" i="1"/>
  <c r="H194" i="1"/>
  <c r="G194" i="1"/>
  <c r="F194" i="1"/>
  <c r="E194" i="1"/>
  <c r="H193" i="1"/>
  <c r="G193" i="1"/>
  <c r="F193" i="1"/>
  <c r="E193" i="1"/>
  <c r="H192" i="1"/>
  <c r="G192" i="1"/>
  <c r="F192" i="1"/>
  <c r="E192" i="1"/>
  <c r="H191" i="1"/>
  <c r="G191" i="1"/>
  <c r="F191" i="1"/>
  <c r="E191" i="1"/>
  <c r="H190" i="1"/>
  <c r="G190" i="1"/>
  <c r="F190" i="1"/>
  <c r="E190" i="1"/>
  <c r="H189" i="1"/>
  <c r="G189" i="1"/>
  <c r="F189" i="1"/>
  <c r="E189" i="1"/>
  <c r="H188" i="1"/>
  <c r="G188" i="1"/>
  <c r="F188" i="1"/>
  <c r="E188" i="1"/>
  <c r="H187" i="1"/>
  <c r="G187" i="1"/>
  <c r="F187" i="1"/>
  <c r="E187" i="1"/>
  <c r="H186" i="1"/>
  <c r="G186" i="1"/>
  <c r="F186" i="1"/>
  <c r="E186" i="1"/>
  <c r="H185" i="1"/>
  <c r="G185" i="1"/>
  <c r="F185" i="1"/>
  <c r="E185" i="1"/>
  <c r="H184" i="1"/>
  <c r="G184" i="1"/>
  <c r="F184" i="1"/>
  <c r="E184" i="1"/>
  <c r="H183" i="1"/>
  <c r="G183" i="1"/>
  <c r="F183" i="1"/>
  <c r="E183" i="1"/>
  <c r="H182" i="1"/>
  <c r="G182" i="1"/>
  <c r="F182" i="1"/>
  <c r="E182" i="1"/>
  <c r="H181" i="1"/>
  <c r="G181" i="1"/>
  <c r="F181" i="1"/>
  <c r="E181" i="1"/>
  <c r="H180" i="1"/>
  <c r="G180" i="1"/>
  <c r="F180" i="1"/>
  <c r="E180" i="1"/>
  <c r="H179" i="1"/>
  <c r="G179" i="1"/>
  <c r="F179" i="1"/>
  <c r="E179" i="1"/>
  <c r="H178" i="1"/>
  <c r="G178" i="1"/>
  <c r="F178" i="1"/>
  <c r="E178" i="1"/>
  <c r="H177" i="1"/>
  <c r="G177" i="1"/>
  <c r="F177" i="1"/>
  <c r="E177" i="1"/>
  <c r="H176" i="1"/>
  <c r="G176" i="1"/>
  <c r="F176" i="1"/>
  <c r="E176" i="1"/>
  <c r="H175" i="1"/>
  <c r="G175" i="1"/>
  <c r="F175" i="1"/>
  <c r="E175" i="1"/>
  <c r="H174" i="1"/>
  <c r="G174" i="1"/>
  <c r="F174" i="1"/>
  <c r="E174" i="1"/>
  <c r="H173" i="1"/>
  <c r="G173" i="1"/>
  <c r="F173" i="1"/>
  <c r="E173" i="1"/>
  <c r="H172" i="1"/>
  <c r="G172" i="1"/>
  <c r="F172" i="1"/>
  <c r="E172" i="1"/>
  <c r="H171" i="1"/>
  <c r="G171" i="1"/>
  <c r="F171" i="1"/>
  <c r="E171" i="1"/>
  <c r="H170" i="1"/>
  <c r="G170" i="1"/>
  <c r="F170" i="1"/>
  <c r="E170" i="1"/>
  <c r="H169" i="1"/>
  <c r="G169" i="1"/>
  <c r="F169" i="1"/>
  <c r="E169" i="1"/>
  <c r="H168" i="1"/>
  <c r="G168" i="1"/>
  <c r="F168" i="1"/>
  <c r="E168" i="1"/>
  <c r="H167" i="1"/>
  <c r="G167" i="1"/>
  <c r="F167" i="1"/>
  <c r="E167" i="1"/>
  <c r="H166" i="1"/>
  <c r="G166" i="1"/>
  <c r="F166" i="1"/>
  <c r="E166" i="1"/>
  <c r="H165" i="1"/>
  <c r="G165" i="1"/>
  <c r="F165" i="1"/>
  <c r="E165" i="1"/>
  <c r="H164" i="1"/>
  <c r="G164" i="1"/>
  <c r="F164" i="1"/>
  <c r="E164" i="1"/>
  <c r="H163" i="1"/>
  <c r="G163" i="1"/>
  <c r="F163" i="1"/>
  <c r="E163" i="1"/>
  <c r="H162" i="1"/>
  <c r="G162" i="1"/>
  <c r="F162" i="1"/>
  <c r="E162" i="1"/>
  <c r="H161" i="1"/>
  <c r="G161" i="1"/>
  <c r="F161" i="1"/>
  <c r="E161" i="1"/>
  <c r="H160" i="1"/>
  <c r="G160" i="1"/>
  <c r="F160" i="1"/>
  <c r="E160" i="1"/>
  <c r="H159" i="1"/>
  <c r="G159" i="1"/>
  <c r="F159" i="1"/>
  <c r="E159" i="1"/>
  <c r="H158" i="1"/>
  <c r="G158" i="1"/>
  <c r="F158" i="1"/>
  <c r="E158" i="1"/>
  <c r="H157" i="1"/>
  <c r="G157" i="1"/>
  <c r="F157" i="1"/>
  <c r="E157" i="1"/>
  <c r="H156" i="1"/>
  <c r="G156" i="1"/>
  <c r="F156" i="1"/>
  <c r="E156" i="1"/>
  <c r="H155" i="1"/>
  <c r="G155" i="1"/>
  <c r="F155" i="1"/>
  <c r="E155" i="1"/>
  <c r="H154" i="1"/>
  <c r="G154" i="1"/>
  <c r="F154" i="1"/>
  <c r="E154" i="1"/>
  <c r="H153" i="1"/>
  <c r="G153" i="1"/>
  <c r="F153" i="1"/>
  <c r="E153" i="1"/>
  <c r="H152" i="1"/>
  <c r="G152" i="1"/>
  <c r="F152" i="1"/>
  <c r="E152" i="1"/>
  <c r="H151" i="1"/>
  <c r="G151" i="1"/>
  <c r="F151" i="1"/>
  <c r="E151" i="1"/>
  <c r="H150" i="1"/>
  <c r="G150" i="1"/>
  <c r="F150" i="1"/>
  <c r="E150" i="1"/>
  <c r="H149" i="1"/>
  <c r="G149" i="1"/>
  <c r="F149" i="1"/>
  <c r="E149" i="1"/>
  <c r="H148" i="1"/>
  <c r="G148" i="1"/>
  <c r="F148" i="1"/>
  <c r="E148" i="1"/>
  <c r="H147" i="1"/>
  <c r="G147" i="1"/>
  <c r="F147" i="1"/>
  <c r="E147" i="1"/>
  <c r="H146" i="1"/>
  <c r="G146" i="1"/>
  <c r="F146" i="1"/>
  <c r="E146" i="1"/>
  <c r="H145" i="1"/>
  <c r="G145" i="1"/>
  <c r="F145" i="1"/>
  <c r="E145" i="1"/>
  <c r="H144" i="1"/>
  <c r="G144" i="1"/>
  <c r="F144" i="1"/>
  <c r="E144" i="1"/>
  <c r="H143" i="1"/>
  <c r="G143" i="1"/>
  <c r="F143" i="1"/>
  <c r="E143" i="1"/>
  <c r="H142" i="1"/>
  <c r="G142" i="1"/>
  <c r="F142" i="1"/>
  <c r="E142" i="1"/>
  <c r="H141" i="1"/>
  <c r="G141" i="1"/>
  <c r="F141" i="1"/>
  <c r="E141" i="1"/>
  <c r="H140" i="1"/>
  <c r="G140" i="1"/>
  <c r="F140" i="1"/>
  <c r="E140" i="1"/>
  <c r="H139" i="1"/>
  <c r="G139" i="1"/>
  <c r="F139" i="1"/>
  <c r="E139" i="1"/>
  <c r="H138" i="1"/>
  <c r="G138" i="1"/>
  <c r="F138" i="1"/>
  <c r="E138" i="1"/>
  <c r="H137" i="1"/>
  <c r="G137" i="1"/>
  <c r="F137" i="1"/>
  <c r="E137" i="1"/>
  <c r="H136" i="1"/>
  <c r="G136" i="1"/>
  <c r="F136" i="1"/>
  <c r="E136" i="1"/>
  <c r="H135" i="1"/>
  <c r="G135" i="1"/>
  <c r="F135" i="1"/>
  <c r="E135" i="1"/>
  <c r="H134" i="1"/>
  <c r="G134" i="1"/>
  <c r="F134" i="1"/>
  <c r="E134" i="1"/>
  <c r="H133" i="1"/>
  <c r="G133" i="1"/>
  <c r="F133" i="1"/>
  <c r="E133" i="1"/>
  <c r="H132" i="1"/>
  <c r="G132" i="1"/>
  <c r="F132" i="1"/>
  <c r="E132" i="1"/>
  <c r="H131" i="1"/>
  <c r="G131" i="1"/>
  <c r="F131" i="1"/>
  <c r="E131" i="1"/>
  <c r="H130" i="1"/>
  <c r="G130" i="1"/>
  <c r="F130" i="1"/>
  <c r="E130" i="1"/>
  <c r="H129" i="1"/>
  <c r="G129" i="1"/>
  <c r="F129" i="1"/>
  <c r="E129" i="1"/>
  <c r="H128" i="1"/>
  <c r="G128" i="1"/>
  <c r="F128" i="1"/>
  <c r="E128" i="1"/>
  <c r="H127" i="1"/>
  <c r="G127" i="1"/>
  <c r="F127" i="1"/>
  <c r="E127" i="1"/>
  <c r="H126" i="1"/>
  <c r="G126" i="1"/>
  <c r="F126" i="1"/>
  <c r="E126" i="1"/>
  <c r="H125" i="1"/>
  <c r="G125" i="1"/>
  <c r="F125" i="1"/>
  <c r="E125" i="1"/>
  <c r="H124" i="1"/>
  <c r="G124" i="1"/>
  <c r="F124" i="1"/>
  <c r="E124" i="1"/>
  <c r="H123" i="1"/>
  <c r="G123" i="1"/>
  <c r="F123" i="1"/>
  <c r="E123" i="1"/>
  <c r="H122" i="1"/>
  <c r="G122" i="1"/>
  <c r="F122" i="1"/>
  <c r="E122" i="1"/>
  <c r="H121" i="1"/>
  <c r="G121" i="1"/>
  <c r="F121" i="1"/>
  <c r="E121" i="1"/>
  <c r="H120" i="1"/>
  <c r="G120" i="1"/>
  <c r="F120" i="1"/>
  <c r="E120" i="1"/>
  <c r="H119" i="1"/>
  <c r="G119" i="1"/>
  <c r="F119" i="1"/>
  <c r="E119" i="1"/>
  <c r="H118" i="1"/>
  <c r="G118" i="1"/>
  <c r="F118" i="1"/>
  <c r="E118" i="1"/>
  <c r="H117" i="1"/>
  <c r="G117" i="1"/>
  <c r="F117" i="1"/>
  <c r="E117" i="1"/>
  <c r="H116" i="1"/>
  <c r="G116" i="1"/>
  <c r="F116" i="1"/>
  <c r="E116" i="1"/>
  <c r="H115" i="1"/>
  <c r="G115" i="1"/>
  <c r="F115" i="1"/>
  <c r="E115" i="1"/>
  <c r="H114" i="1"/>
  <c r="G114" i="1"/>
  <c r="F114" i="1"/>
  <c r="E114" i="1"/>
  <c r="H113" i="1"/>
  <c r="G113" i="1"/>
  <c r="F113" i="1"/>
  <c r="E113" i="1"/>
  <c r="H112" i="1"/>
  <c r="G112" i="1"/>
  <c r="F112" i="1"/>
  <c r="E112" i="1"/>
  <c r="H111" i="1"/>
  <c r="G111" i="1"/>
  <c r="F111" i="1"/>
  <c r="E111" i="1"/>
  <c r="H110" i="1"/>
  <c r="G110" i="1"/>
  <c r="F110" i="1"/>
  <c r="E110" i="1"/>
  <c r="H109" i="1"/>
  <c r="G109" i="1"/>
  <c r="F109" i="1"/>
  <c r="E109" i="1"/>
  <c r="H108" i="1"/>
  <c r="G108" i="1"/>
  <c r="F108" i="1"/>
  <c r="E108" i="1"/>
  <c r="H107" i="1"/>
  <c r="G107" i="1"/>
  <c r="F107" i="1"/>
  <c r="E107" i="1"/>
  <c r="H106" i="1"/>
  <c r="G106" i="1"/>
  <c r="F106" i="1"/>
  <c r="E106" i="1"/>
  <c r="H105" i="1"/>
  <c r="G105" i="1"/>
  <c r="F105" i="1"/>
  <c r="E105" i="1"/>
  <c r="H104" i="1"/>
  <c r="G104" i="1"/>
  <c r="F104" i="1"/>
  <c r="E104" i="1"/>
  <c r="H103" i="1"/>
  <c r="G103" i="1"/>
  <c r="F103" i="1"/>
  <c r="E103" i="1"/>
  <c r="H102" i="1"/>
  <c r="G102" i="1"/>
  <c r="F102" i="1"/>
  <c r="E102" i="1"/>
  <c r="H101" i="1"/>
  <c r="G101" i="1"/>
  <c r="F101" i="1"/>
  <c r="E101" i="1"/>
  <c r="H100" i="1"/>
  <c r="G100" i="1"/>
  <c r="F100" i="1"/>
  <c r="E100" i="1"/>
  <c r="H99" i="1"/>
  <c r="G99" i="1"/>
  <c r="F99" i="1"/>
  <c r="E99" i="1"/>
  <c r="H98" i="1"/>
  <c r="G98" i="1"/>
  <c r="F98" i="1"/>
  <c r="E98" i="1"/>
  <c r="H97" i="1"/>
  <c r="G97" i="1"/>
  <c r="F97" i="1"/>
  <c r="E97" i="1"/>
  <c r="H96" i="1"/>
  <c r="G96" i="1"/>
  <c r="F96" i="1"/>
  <c r="E96" i="1"/>
  <c r="H95" i="1"/>
  <c r="G95" i="1"/>
  <c r="F95" i="1"/>
  <c r="E95" i="1"/>
  <c r="H94" i="1"/>
  <c r="G94" i="1"/>
  <c r="F94" i="1"/>
  <c r="E94" i="1"/>
  <c r="H93" i="1"/>
  <c r="G93" i="1"/>
  <c r="F93" i="1"/>
  <c r="E93" i="1"/>
  <c r="H92" i="1"/>
  <c r="G92" i="1"/>
  <c r="F92" i="1"/>
  <c r="E92" i="1"/>
  <c r="H91" i="1"/>
  <c r="G91" i="1"/>
  <c r="F91" i="1"/>
  <c r="E91" i="1"/>
  <c r="H90" i="1"/>
  <c r="G90" i="1"/>
  <c r="F90" i="1"/>
  <c r="E90" i="1"/>
  <c r="H89" i="1"/>
  <c r="G89" i="1"/>
  <c r="F89" i="1"/>
  <c r="E89" i="1"/>
  <c r="H88" i="1"/>
  <c r="G88" i="1"/>
  <c r="F88" i="1"/>
  <c r="E88" i="1"/>
  <c r="H87" i="1"/>
  <c r="G87" i="1"/>
  <c r="F87" i="1"/>
  <c r="E87" i="1"/>
  <c r="H86" i="1"/>
  <c r="G86" i="1"/>
  <c r="F86" i="1"/>
  <c r="E86" i="1"/>
  <c r="H85" i="1"/>
  <c r="G85" i="1"/>
  <c r="F85" i="1"/>
  <c r="E85" i="1"/>
  <c r="H84" i="1"/>
  <c r="G84" i="1"/>
  <c r="F84" i="1"/>
  <c r="E84" i="1"/>
  <c r="H83" i="1"/>
  <c r="G83" i="1"/>
  <c r="F83" i="1"/>
  <c r="E83" i="1"/>
  <c r="H82" i="1"/>
  <c r="G82" i="1"/>
  <c r="F82" i="1"/>
  <c r="E82" i="1"/>
  <c r="H81" i="1"/>
  <c r="G81" i="1"/>
  <c r="F81" i="1"/>
  <c r="E81" i="1"/>
  <c r="H80" i="1"/>
  <c r="G80" i="1"/>
  <c r="F80" i="1"/>
  <c r="E80" i="1"/>
  <c r="H79" i="1"/>
  <c r="G79" i="1"/>
  <c r="F79" i="1"/>
  <c r="E79" i="1"/>
  <c r="H78" i="1"/>
  <c r="G78" i="1"/>
  <c r="F78" i="1"/>
  <c r="E78" i="1"/>
  <c r="H77" i="1"/>
  <c r="G77" i="1"/>
  <c r="F77" i="1"/>
  <c r="E77" i="1"/>
  <c r="H76" i="1"/>
  <c r="G76" i="1"/>
  <c r="F76" i="1"/>
  <c r="E76" i="1"/>
  <c r="H75" i="1"/>
  <c r="G75" i="1"/>
  <c r="F75" i="1"/>
  <c r="E75" i="1"/>
  <c r="H74" i="1"/>
  <c r="G74" i="1"/>
  <c r="F74" i="1"/>
  <c r="E74" i="1"/>
  <c r="H73" i="1"/>
  <c r="G73" i="1"/>
  <c r="F73" i="1"/>
  <c r="E73" i="1"/>
  <c r="H72" i="1"/>
  <c r="G72" i="1"/>
  <c r="F72" i="1"/>
  <c r="E72" i="1"/>
  <c r="H71" i="1"/>
  <c r="G71" i="1"/>
  <c r="F71" i="1"/>
  <c r="E71" i="1"/>
  <c r="H70" i="1"/>
  <c r="G70" i="1"/>
  <c r="F70" i="1"/>
  <c r="E70" i="1"/>
  <c r="H69" i="1"/>
  <c r="G69" i="1"/>
  <c r="F69" i="1"/>
  <c r="E69" i="1"/>
  <c r="H68" i="1"/>
  <c r="G68" i="1"/>
  <c r="F68" i="1"/>
  <c r="E68" i="1"/>
  <c r="H67" i="1"/>
  <c r="G67" i="1"/>
  <c r="F67" i="1"/>
  <c r="E67" i="1"/>
  <c r="H66" i="1"/>
  <c r="G66" i="1"/>
  <c r="F66" i="1"/>
  <c r="E66" i="1"/>
  <c r="H65" i="1"/>
  <c r="G65" i="1"/>
  <c r="F65" i="1"/>
  <c r="E65" i="1"/>
  <c r="H64" i="1"/>
  <c r="G64" i="1"/>
  <c r="F64" i="1"/>
  <c r="E64" i="1"/>
  <c r="H63" i="1"/>
  <c r="G63" i="1"/>
  <c r="F63" i="1"/>
  <c r="E63" i="1"/>
  <c r="H62" i="1"/>
  <c r="G62" i="1"/>
  <c r="F62" i="1"/>
  <c r="E62" i="1"/>
  <c r="H61" i="1"/>
  <c r="G61" i="1"/>
  <c r="F61" i="1"/>
  <c r="E61" i="1"/>
  <c r="H60" i="1"/>
  <c r="G60" i="1"/>
  <c r="F60" i="1"/>
  <c r="E60" i="1"/>
  <c r="H59" i="1"/>
  <c r="G59" i="1"/>
  <c r="F59" i="1"/>
  <c r="E59" i="1"/>
  <c r="H58" i="1"/>
  <c r="G58" i="1"/>
  <c r="F58" i="1"/>
  <c r="E58" i="1"/>
  <c r="H57" i="1"/>
  <c r="G57" i="1"/>
  <c r="F57" i="1"/>
  <c r="E57" i="1"/>
  <c r="H56" i="1"/>
  <c r="G56" i="1"/>
  <c r="F56" i="1"/>
  <c r="E56" i="1"/>
  <c r="H55" i="1"/>
  <c r="G55" i="1"/>
  <c r="F55" i="1"/>
  <c r="E55" i="1"/>
  <c r="H54" i="1"/>
  <c r="G54" i="1"/>
  <c r="F54" i="1"/>
  <c r="E54" i="1"/>
  <c r="H53" i="1"/>
  <c r="G53" i="1"/>
  <c r="F53" i="1"/>
  <c r="E53" i="1"/>
  <c r="H52" i="1"/>
  <c r="G52" i="1"/>
  <c r="F52" i="1"/>
  <c r="E52" i="1"/>
  <c r="H51" i="1"/>
  <c r="G51" i="1"/>
  <c r="F51" i="1"/>
  <c r="E51" i="1"/>
  <c r="H50" i="1"/>
  <c r="G50" i="1"/>
  <c r="F50" i="1"/>
  <c r="E50" i="1"/>
  <c r="H49" i="1"/>
  <c r="G49" i="1"/>
  <c r="F49" i="1"/>
  <c r="E49" i="1"/>
  <c r="H48" i="1"/>
  <c r="G48" i="1"/>
  <c r="F48" i="1"/>
  <c r="E48" i="1"/>
  <c r="H47" i="1"/>
  <c r="G47" i="1"/>
  <c r="F47" i="1"/>
  <c r="E47" i="1"/>
  <c r="H46" i="1"/>
  <c r="G46" i="1"/>
  <c r="F46" i="1"/>
  <c r="E46" i="1"/>
  <c r="H45" i="1"/>
  <c r="G45" i="1"/>
  <c r="F45" i="1"/>
  <c r="E45" i="1"/>
  <c r="H44" i="1"/>
  <c r="G44" i="1"/>
  <c r="F44" i="1"/>
  <c r="E44" i="1"/>
  <c r="H43" i="1"/>
  <c r="G43" i="1"/>
  <c r="F43" i="1"/>
  <c r="E43" i="1"/>
  <c r="H42" i="1"/>
  <c r="G42" i="1"/>
  <c r="F42" i="1"/>
  <c r="E42" i="1"/>
  <c r="H41" i="1"/>
  <c r="G41" i="1"/>
  <c r="F41" i="1"/>
  <c r="E41" i="1"/>
  <c r="H40" i="1"/>
  <c r="G40" i="1"/>
  <c r="F40" i="1"/>
  <c r="E40" i="1"/>
  <c r="H39" i="1"/>
  <c r="G39" i="1"/>
  <c r="F39" i="1"/>
  <c r="E39" i="1"/>
  <c r="H38" i="1"/>
  <c r="G38" i="1"/>
  <c r="F38" i="1"/>
  <c r="E38" i="1"/>
  <c r="H37" i="1"/>
  <c r="G37" i="1"/>
  <c r="F37" i="1"/>
  <c r="E37" i="1"/>
  <c r="H36" i="1"/>
  <c r="G36" i="1"/>
  <c r="F36" i="1"/>
  <c r="E36" i="1"/>
  <c r="H35" i="1"/>
  <c r="G35" i="1"/>
  <c r="F35" i="1"/>
  <c r="E35" i="1"/>
  <c r="H34" i="1"/>
  <c r="G34" i="1"/>
  <c r="F34" i="1"/>
  <c r="E34" i="1"/>
  <c r="H33" i="1"/>
  <c r="G33" i="1"/>
  <c r="F33" i="1"/>
  <c r="E33" i="1"/>
  <c r="H32" i="1"/>
  <c r="G32" i="1"/>
  <c r="F32" i="1"/>
  <c r="E32" i="1"/>
  <c r="H31" i="1"/>
  <c r="G31" i="1"/>
  <c r="F31" i="1"/>
  <c r="E31" i="1"/>
  <c r="H30" i="1"/>
  <c r="G30" i="1"/>
  <c r="F30" i="1"/>
  <c r="E30" i="1"/>
  <c r="H29" i="1"/>
  <c r="G29" i="1"/>
  <c r="F29" i="1"/>
  <c r="E29" i="1"/>
  <c r="H28" i="1"/>
  <c r="G28" i="1"/>
  <c r="F28" i="1"/>
  <c r="E28" i="1"/>
  <c r="H27" i="1"/>
  <c r="G27" i="1"/>
  <c r="F27" i="1"/>
  <c r="E27" i="1"/>
  <c r="H26" i="1"/>
  <c r="G26" i="1"/>
  <c r="F26" i="1"/>
  <c r="E26" i="1"/>
  <c r="H25" i="1"/>
  <c r="G25" i="1"/>
  <c r="F25" i="1"/>
  <c r="E25" i="1"/>
  <c r="H24" i="1"/>
  <c r="G24" i="1"/>
  <c r="F24" i="1"/>
  <c r="E24" i="1"/>
  <c r="H23" i="1"/>
  <c r="G23" i="1"/>
  <c r="F23" i="1"/>
  <c r="E23" i="1"/>
  <c r="H22" i="1"/>
  <c r="G22" i="1"/>
  <c r="F22" i="1"/>
  <c r="E22" i="1"/>
  <c r="H21" i="1"/>
  <c r="G21" i="1"/>
  <c r="F21" i="1"/>
  <c r="E21" i="1"/>
  <c r="H20" i="1"/>
  <c r="G20" i="1"/>
  <c r="F20" i="1"/>
  <c r="E20" i="1"/>
  <c r="H19" i="1"/>
  <c r="G19" i="1"/>
  <c r="F19" i="1"/>
  <c r="E19" i="1"/>
  <c r="H18" i="1"/>
  <c r="G18" i="1"/>
  <c r="F18" i="1"/>
  <c r="E18" i="1"/>
  <c r="H17" i="1"/>
  <c r="G17" i="1"/>
  <c r="F17" i="1"/>
  <c r="E17" i="1"/>
  <c r="H16" i="1"/>
  <c r="G16" i="1"/>
  <c r="F16" i="1"/>
  <c r="E16" i="1"/>
  <c r="H15" i="1"/>
  <c r="G15" i="1"/>
  <c r="F15" i="1"/>
  <c r="E15" i="1"/>
  <c r="H14" i="1"/>
  <c r="G14" i="1"/>
  <c r="F14" i="1"/>
  <c r="E14" i="1"/>
  <c r="H13" i="1"/>
  <c r="G13" i="1"/>
  <c r="F13" i="1"/>
  <c r="E13" i="1"/>
  <c r="H12" i="1"/>
  <c r="G12" i="1"/>
  <c r="F12" i="1"/>
  <c r="E12" i="1"/>
  <c r="H11" i="1"/>
  <c r="G11" i="1"/>
  <c r="F11" i="1"/>
  <c r="E11" i="1"/>
  <c r="H10" i="1"/>
  <c r="G10" i="1"/>
  <c r="F10" i="1"/>
  <c r="E10" i="1"/>
  <c r="H9" i="1"/>
  <c r="G9" i="1"/>
  <c r="F9" i="1"/>
  <c r="E9" i="1"/>
  <c r="H8" i="1"/>
  <c r="G8" i="1"/>
  <c r="F8" i="1"/>
  <c r="E8" i="1"/>
  <c r="H7" i="1"/>
  <c r="G7" i="1"/>
  <c r="F7" i="1"/>
  <c r="E7" i="1"/>
  <c r="H6" i="1"/>
  <c r="G6" i="1"/>
  <c r="F6" i="1"/>
  <c r="E6" i="1"/>
  <c r="H5" i="1"/>
  <c r="G5" i="1"/>
  <c r="F5" i="1"/>
  <c r="E5" i="1"/>
  <c r="H4" i="1"/>
  <c r="G4" i="1"/>
  <c r="F4" i="1"/>
  <c r="E4" i="1"/>
  <c r="H3" i="1"/>
  <c r="G3" i="1"/>
  <c r="F3" i="1"/>
  <c r="E3" i="1"/>
  <c r="H2" i="1"/>
  <c r="G2" i="1"/>
  <c r="F2" i="1"/>
  <c r="E2" i="1"/>
</calcChain>
</file>

<file path=xl/sharedStrings.xml><?xml version="1.0" encoding="utf-8"?>
<sst xmlns="http://schemas.openxmlformats.org/spreadsheetml/2006/main" count="3434" uniqueCount="1803">
  <si>
    <t>Cliente</t>
  </si>
  <si>
    <t>Município/UF</t>
  </si>
  <si>
    <t>Data da Adesão</t>
  </si>
  <si>
    <t>Código Consultor</t>
  </si>
  <si>
    <t>Consultor Venda</t>
  </si>
  <si>
    <t>Canal</t>
  </si>
  <si>
    <t>Regional</t>
  </si>
  <si>
    <t>Coordenador</t>
  </si>
  <si>
    <t>CRUZEIRO DO OESTE/PR</t>
  </si>
  <si>
    <t>PATO BRANCO/PR</t>
  </si>
  <si>
    <t>GUARAPUAVA/PR</t>
  </si>
  <si>
    <t>GRAVATAI/RS</t>
  </si>
  <si>
    <t>PONTA GROSSA/PR</t>
  </si>
  <si>
    <t>PASSO FUNDO/RS</t>
  </si>
  <si>
    <t>PALMITOS/SC</t>
  </si>
  <si>
    <t>ITAJAI/SC</t>
  </si>
  <si>
    <t>CAXIAS DO SUL/RS</t>
  </si>
  <si>
    <t>GETULIO VARGAS/RS</t>
  </si>
  <si>
    <t>MARAVILHA/SC</t>
  </si>
  <si>
    <t>ALVORADA/RS</t>
  </si>
  <si>
    <t>PIRATUBA/SC</t>
  </si>
  <si>
    <t>MODELO/SC</t>
  </si>
  <si>
    <t>SANTA CRUZ DO SUL/RS</t>
  </si>
  <si>
    <t>CANOAS/RS</t>
  </si>
  <si>
    <t>SANTA MARIA/RS</t>
  </si>
  <si>
    <t>ABELARDO LUZ/SC</t>
  </si>
  <si>
    <t>CAPAO DA CANOA/RS</t>
  </si>
  <si>
    <t>VACARIA/RS</t>
  </si>
  <si>
    <t>LAJEADO/RS</t>
  </si>
  <si>
    <t>CASCAVEL/PR</t>
  </si>
  <si>
    <t>ITAPETININGA/SP</t>
  </si>
  <si>
    <t>CHAPECO/SC</t>
  </si>
  <si>
    <t>CAPAO BONITO/SP</t>
  </si>
  <si>
    <t>XANXERE/SC</t>
  </si>
  <si>
    <t>ERECHIM/RS</t>
  </si>
  <si>
    <t>FARROUPILHA/RS</t>
  </si>
  <si>
    <t>PEROBAL/PR</t>
  </si>
  <si>
    <t>VOTORANTIM/SP</t>
  </si>
  <si>
    <t>TELEMACO BORBA/PR</t>
  </si>
  <si>
    <t>LAGES/SC</t>
  </si>
  <si>
    <t>NOVA SANTA RITA/RS</t>
  </si>
  <si>
    <t>CLEVELANDIA/PR</t>
  </si>
  <si>
    <t>CONCORDIA/SC</t>
  </si>
  <si>
    <t>CASTRO/PR</t>
  </si>
  <si>
    <t>IRATI/PR</t>
  </si>
  <si>
    <t>SOROCABA/SP</t>
  </si>
  <si>
    <t>BENTO GONCALVES/RS</t>
  </si>
  <si>
    <t>VENANCIO AIRES/RS</t>
  </si>
  <si>
    <t>PONTE SERRADA/SC</t>
  </si>
  <si>
    <t>OURO VERDE DO OESTE/PR</t>
  </si>
  <si>
    <t>FLORIANOPOLIS/SC</t>
  </si>
  <si>
    <t>ESTACAO/RS</t>
  </si>
  <si>
    <t>SAUDADES/SC</t>
  </si>
  <si>
    <t>DOURADOS/MS</t>
  </si>
  <si>
    <t>SANANDUVA/RS</t>
  </si>
  <si>
    <t>HERVAL D'OESTE/SC</t>
  </si>
  <si>
    <t>NAVEGANTES/SC</t>
  </si>
  <si>
    <t>CAIBI/SC</t>
  </si>
  <si>
    <t>SAO JOSE DAS PALMEIRAS/PR</t>
  </si>
  <si>
    <t>UMUARAMA/PR</t>
  </si>
  <si>
    <t>CACHOEIRINHA/RS</t>
  </si>
  <si>
    <t>IRANI/SC</t>
  </si>
  <si>
    <t>TOLEDO/PR</t>
  </si>
  <si>
    <t>SALTINHO/SC</t>
  </si>
  <si>
    <t>RESERVA/PR</t>
  </si>
  <si>
    <t>CRICIUMA/SC</t>
  </si>
  <si>
    <t>SAO JOSE/SC</t>
  </si>
  <si>
    <t>XAXIM/SC</t>
  </si>
  <si>
    <t>TIGRINHOS/SC</t>
  </si>
  <si>
    <t>PINHALZINHO/SC</t>
  </si>
  <si>
    <t>SOLEDADE/RS</t>
  </si>
  <si>
    <t>SAO MIGUEL ARCANJO/SP</t>
  </si>
  <si>
    <t>JOACABA/SC</t>
  </si>
  <si>
    <t>NONOAI/RS</t>
  </si>
  <si>
    <t>SAO MATEUS DO SUL/PR</t>
  </si>
  <si>
    <t>ESTRELA/RS</t>
  </si>
  <si>
    <t>CARAZINHO/RS</t>
  </si>
  <si>
    <t>BARROS CASSAL/RS</t>
  </si>
  <si>
    <t>VIADUTOS/RS</t>
  </si>
  <si>
    <t>LAGOA VERMELHA/RS</t>
  </si>
  <si>
    <t>GAURAMA/RS</t>
  </si>
  <si>
    <t>MARILUZ/PR</t>
  </si>
  <si>
    <t>CORREIA PINTO/SC</t>
  </si>
  <si>
    <t>TAPEJARA/PR</t>
  </si>
  <si>
    <t>GOIOERE/PR</t>
  </si>
  <si>
    <t>CUNHA PORA/SC</t>
  </si>
  <si>
    <t>SALDANHA MARINHO/RS</t>
  </si>
  <si>
    <t>AGUAS DE CHAPECO/SC</t>
  </si>
  <si>
    <t>ICARA/SC</t>
  </si>
  <si>
    <t>Daiane Rodrigues dos Santos</t>
  </si>
  <si>
    <t>SANTA BARBARA DO SUL/RS</t>
  </si>
  <si>
    <t>BURI/SP</t>
  </si>
  <si>
    <t>SEARA/SC</t>
  </si>
  <si>
    <t>XAVANTINA/SC</t>
  </si>
  <si>
    <t>TRINDADE DO SUL/RS</t>
  </si>
  <si>
    <t>SERTAO/RS</t>
  </si>
  <si>
    <t>ARATIBA/RS</t>
  </si>
  <si>
    <t>SARANDI/RS</t>
  </si>
  <si>
    <t>PRUDENTOPOLIS/PR</t>
  </si>
  <si>
    <t>NAVIRAI/MS</t>
  </si>
  <si>
    <t>RIBEIRAO GRANDE/SP</t>
  </si>
  <si>
    <t>NOVA ERECHIM/SC</t>
  </si>
  <si>
    <t>IBIACA/RS</t>
  </si>
  <si>
    <t>ENTRE RIOS DO SUL/RS</t>
  </si>
  <si>
    <t>MARCELINO RAMOS/RS</t>
  </si>
  <si>
    <t>JACUTINGA/RS</t>
  </si>
  <si>
    <t>EREBANGO/RS</t>
  </si>
  <si>
    <t>PALHOCA/SC</t>
  </si>
  <si>
    <t>JUSCIELI APARECIDA SILVA</t>
  </si>
  <si>
    <t>NOVA OLIMPIA/PR</t>
  </si>
  <si>
    <t>NOVA ITABERABA/SC</t>
  </si>
  <si>
    <t>SERRA ALTA/SC</t>
  </si>
  <si>
    <t>CAMPINAS DO SUL/RS</t>
  </si>
  <si>
    <t>FLOR DO SERTAO/SC</t>
  </si>
  <si>
    <t>MARIA HELENA/PR</t>
  </si>
  <si>
    <t>ALAMBARI/SP</t>
  </si>
  <si>
    <t>TURVO/PR</t>
  </si>
  <si>
    <t>MARIANO MORO/RS</t>
  </si>
  <si>
    <t>TRES ARROIOS/RS</t>
  </si>
  <si>
    <t>SAO PEDRO DO IGUACU/PR</t>
  </si>
  <si>
    <t>Gabriel Cardozo de Souza Garcia</t>
  </si>
  <si>
    <t>SANTA TEREZINHA DO PROGRESSO/SC</t>
  </si>
  <si>
    <t>PATRICK SANTOS DA SILVA</t>
  </si>
  <si>
    <t>PAULO BENTO/RS</t>
  </si>
  <si>
    <t>GUILHERME ARASZEWSKI ORMIANIN</t>
  </si>
  <si>
    <t>GALVAO/SC</t>
  </si>
  <si>
    <t>Maria José de Castro</t>
  </si>
  <si>
    <t>Cristiane Dos Santos</t>
  </si>
  <si>
    <t>QUATRO IRMAOS/RS</t>
  </si>
  <si>
    <t>ARACELI MENEGAZI DE OLIVEIRA</t>
  </si>
  <si>
    <t>SEVERIANO DE ALMEIDA/RS</t>
  </si>
  <si>
    <t>Patrícia da Silva</t>
  </si>
  <si>
    <t>DHIONAS MILO ROELL</t>
  </si>
  <si>
    <t>Sidiane Mara Silva Rencke</t>
  </si>
  <si>
    <t>THAINARA LARA CARNEIRO</t>
  </si>
  <si>
    <t>CLAUDEMIR JOSE PEREIRA DOS SANTOS</t>
  </si>
  <si>
    <t>Larice machado de Oliveira</t>
  </si>
  <si>
    <t>JEFERSON NUNES DA MOTA</t>
  </si>
  <si>
    <t>CARLOS GOMES/RS</t>
  </si>
  <si>
    <t>NAELI DE ABREU FONSECA</t>
  </si>
  <si>
    <t>Karoline Oliveira</t>
  </si>
  <si>
    <t>PLANATERRA-TERRAPLENAGEM E PAVIMENTACAO LTDA</t>
  </si>
  <si>
    <t>GIOVANE BARBOSA DOS SANTOS</t>
  </si>
  <si>
    <t>PREFEITURA MUNICIPAL DE ITAPETININGA</t>
  </si>
  <si>
    <t>Angela Cristina Cordeiro de Oliveira</t>
  </si>
  <si>
    <t>Roni Jesus de Souza</t>
  </si>
  <si>
    <t>NEUSA CRISTINA MUTHER</t>
  </si>
  <si>
    <t>VOLNEI DA SILVA ALVES</t>
  </si>
  <si>
    <t>ROSELI MARIA PEREIRA DA SILVA</t>
  </si>
  <si>
    <t>SILVANA DE RAMOS</t>
  </si>
  <si>
    <t>DANIELA MARCOS PEDROSO</t>
  </si>
  <si>
    <t>João Vitor Borba Correa</t>
  </si>
  <si>
    <t>SHIRLEY CASTANHO DE SOUZA</t>
  </si>
  <si>
    <t>Leonardo Barbosa da Silva Júnior</t>
  </si>
  <si>
    <t>Lais Carolina Zeni da Silva</t>
  </si>
  <si>
    <t>JULIA ANGOLINI</t>
  </si>
  <si>
    <t>CARLOS ALBERTO ALVES DA SILVA</t>
  </si>
  <si>
    <t>FERNANDO RIBEIRO SIMIONI</t>
  </si>
  <si>
    <t>JAIANE FATIMA DE ALMEIDA</t>
  </si>
  <si>
    <t>Ederson Machado Martins</t>
  </si>
  <si>
    <t>CLARO S.A.</t>
  </si>
  <si>
    <t>CARLOS ALBERTO DO AMARAL MEDEIROS</t>
  </si>
  <si>
    <t>LIDIA MARIA WESTER QUADROS</t>
  </si>
  <si>
    <t>WILMER ALFREDO GALLARDO MORAO</t>
  </si>
  <si>
    <t>GILMARA COSTA DE FREITAS</t>
  </si>
  <si>
    <t>FABRICIO ZEFERINO</t>
  </si>
  <si>
    <t>PATRICK GUBERT ZOCKE</t>
  </si>
  <si>
    <t>Catia Turcatti</t>
  </si>
  <si>
    <t>Claiton Junior Dos Santos</t>
  </si>
  <si>
    <t>MARLENE ALVES</t>
  </si>
  <si>
    <t>Raquel Cristina Lima da Silva Hess</t>
  </si>
  <si>
    <t>Daniel Pereira Da Silva</t>
  </si>
  <si>
    <t>JUDIMAR PRADELLA</t>
  </si>
  <si>
    <t>VINICIUS ANTUNES CAZELLA</t>
  </si>
  <si>
    <t>Ivanilda Inacio</t>
  </si>
  <si>
    <t>João Maria Dos Santos</t>
  </si>
  <si>
    <t>RAFAELLA AVAMDUJA LIMA</t>
  </si>
  <si>
    <t>GLADIMIR MOREIRA FERNANDES</t>
  </si>
  <si>
    <t>MARINES DOS SANTOS</t>
  </si>
  <si>
    <t>Sergio Bittencourt</t>
  </si>
  <si>
    <t>IGREJA PENTECOSTAL CRISTO PARA AS NAÇÕES MINISTERIO VIDA ABU</t>
  </si>
  <si>
    <t>Ana Paula Maia</t>
  </si>
  <si>
    <t>Eliane Alexandre</t>
  </si>
  <si>
    <t>ALEXANDRE HSETTINGER KLEIN</t>
  </si>
  <si>
    <t>BRUNO HENRIQUE DE OLIVEIRA</t>
  </si>
  <si>
    <t>VALDEVINO PEDROSO DOS SANTOS</t>
  </si>
  <si>
    <t>Sergio Luis de Oliveira</t>
  </si>
  <si>
    <t>Jéssica Gabrielly Soares de Oliveira Almeida</t>
  </si>
  <si>
    <t>DIONEIA TEREZINHA DA SILVA ALMEIDA</t>
  </si>
  <si>
    <t>MAIARA CRISTINA DOS SANTOS GERALDO</t>
  </si>
  <si>
    <t>LUCIANE APARECIDA FERREIRA MARTINS</t>
  </si>
  <si>
    <t>RENATA SILVA ESSR</t>
  </si>
  <si>
    <t>Felipe Dos Santos Soares</t>
  </si>
  <si>
    <t>ENI VITORIA LIMA DE LIMA</t>
  </si>
  <si>
    <t>Aldenise Mendes da Silva</t>
  </si>
  <si>
    <t>Caroline dos Santos</t>
  </si>
  <si>
    <t>VOLMIR ALVES</t>
  </si>
  <si>
    <t>PEDRO HENRIQUE CHAVES DA ROCHA</t>
  </si>
  <si>
    <t>DAIANE SALDANHA MACHADO</t>
  </si>
  <si>
    <t>Fabiano da Silva Borges</t>
  </si>
  <si>
    <t>JEAN ABEL SASSO</t>
  </si>
  <si>
    <t>RANIELE OHANA NUNES RIBEIRO</t>
  </si>
  <si>
    <t>MARLI DA SILVA</t>
  </si>
  <si>
    <t>SUELEN MIRANDA PEREIRA</t>
  </si>
  <si>
    <t>FELIPE ROBERTO SLUSARACKI</t>
  </si>
  <si>
    <t>Paola Vargas Madruga</t>
  </si>
  <si>
    <t>JANAINA FERREIRA DOS SANTOS</t>
  </si>
  <si>
    <t>ALEXANDRE DE LIMA</t>
  </si>
  <si>
    <t>Lara Fabian Shakira de Jesus Nogueira</t>
  </si>
  <si>
    <t>Ediele Terezinha da Silva bertotti</t>
  </si>
  <si>
    <t>Giovana Paola Gonçalves</t>
  </si>
  <si>
    <t>MARCOS ANTONIO DIAS</t>
  </si>
  <si>
    <t>Ana Cristina Silva Piassi</t>
  </si>
  <si>
    <t>Jorge da Silva de Almeida</t>
  </si>
  <si>
    <t>Natanael Martins Ribeiro</t>
  </si>
  <si>
    <t>NUH! DIGITAL LTDA</t>
  </si>
  <si>
    <t>CLEBERTON VIEIRA GOES</t>
  </si>
  <si>
    <t>JULIANA RODRIGUES SOARES</t>
  </si>
  <si>
    <t>GILMAR SEVERO DA SILVA</t>
  </si>
  <si>
    <t>PAULO LUIZ BRESSA FLORES</t>
  </si>
  <si>
    <t>ANDERSON LINHARES</t>
  </si>
  <si>
    <t>Rosecleia Matte</t>
  </si>
  <si>
    <t>LAURECI OLIVEIRA DA SILVEIRA</t>
  </si>
  <si>
    <t>Cassiane De Oliveira Lima</t>
  </si>
  <si>
    <t>THALITA OLIVEIRA DE MELO</t>
  </si>
  <si>
    <t>MAIANA DE JESUS SANTOS</t>
  </si>
  <si>
    <t>Adriano Drey</t>
  </si>
  <si>
    <t>Josias Pacheco</t>
  </si>
  <si>
    <t>Isadora Rodrigues Machado</t>
  </si>
  <si>
    <t>Alexsandro Magioni</t>
  </si>
  <si>
    <t>Leandro Henrique Ferreira</t>
  </si>
  <si>
    <t>ALGAR TELECOM S A</t>
  </si>
  <si>
    <t>Henrique da Veiga da Rosa</t>
  </si>
  <si>
    <t>Gabriel Fernandes</t>
  </si>
  <si>
    <t>CARLA PRISCILA ARAMBARRI PIREZ</t>
  </si>
  <si>
    <t>LEANDRO DOS SANTOS RAMOS</t>
  </si>
  <si>
    <t>TOMAZ ANTONIO WALTRICK</t>
  </si>
  <si>
    <t>CARLOS CONCEICAO DE OLIVEIRA</t>
  </si>
  <si>
    <t>Mikaelly de Souza Lima</t>
  </si>
  <si>
    <t>LOUISI DANIELI DA SILVA</t>
  </si>
  <si>
    <t>PAULO CESAR VIEIRA</t>
  </si>
  <si>
    <t>ANA CAROLINE VAZ SALES BRANCO</t>
  </si>
  <si>
    <t>JOCIANE APARECIDA DA FONSECA RAQUEL MACHADO</t>
  </si>
  <si>
    <t>Jaine Zagre Kapuste</t>
  </si>
  <si>
    <t>Maria da silveira Alves de Lima</t>
  </si>
  <si>
    <t>Gabriela Ferraz da Silva</t>
  </si>
  <si>
    <t>Isolde Maria Balbinot</t>
  </si>
  <si>
    <t>MAYARA FERREIRA TEIXEIRA</t>
  </si>
  <si>
    <t>Matheus William Cavalheiro</t>
  </si>
  <si>
    <t>Fernando Zanella</t>
  </si>
  <si>
    <t>Luciene Terezinha Da Motta Do Rosário</t>
  </si>
  <si>
    <t>Daiane dos Santos Machado</t>
  </si>
  <si>
    <t>Ronaldo aparecido de Oliveira</t>
  </si>
  <si>
    <t>Ederson Felipe</t>
  </si>
  <si>
    <t>Patrícia Fernanda henika</t>
  </si>
  <si>
    <t>Juliana Ribeiro da Silva</t>
  </si>
  <si>
    <t>Rafael Soares De Morais</t>
  </si>
  <si>
    <t>FLAVIA EDUARDA RODRIGUES DOS SANTOS</t>
  </si>
  <si>
    <t>Claudio Adriano Santana Nunes</t>
  </si>
  <si>
    <t>Rita Jaqueline Pereira Fernades</t>
  </si>
  <si>
    <t>Alan spader</t>
  </si>
  <si>
    <t>Graziele bonin de paula</t>
  </si>
  <si>
    <t>Decio Luiz Kohl Boita</t>
  </si>
  <si>
    <t>Alceu Balcata</t>
  </si>
  <si>
    <t>CLAUDETE QUILES PADILHA</t>
  </si>
  <si>
    <t>THIAGO SCHIMITT DE DEUS</t>
  </si>
  <si>
    <t>Danielly da Rosa</t>
  </si>
  <si>
    <t>Patricia Pinto Da Silva</t>
  </si>
  <si>
    <t>Carlos Alberto Dos Santos</t>
  </si>
  <si>
    <t>EZEQUIEL LIMA</t>
  </si>
  <si>
    <t>LIDIANE TEREZA DA ROSA</t>
  </si>
  <si>
    <t>Luara Fernanda paz de Abreu</t>
  </si>
  <si>
    <t>Walison Geluedes Ramos</t>
  </si>
  <si>
    <t>Carina martins dos santos</t>
  </si>
  <si>
    <t>ZULENY ANTONIA DUARTE GUZMAN</t>
  </si>
  <si>
    <t>Andrisa Barbosa fortes</t>
  </si>
  <si>
    <t>Paula Fernanda Marques</t>
  </si>
  <si>
    <t>NIRLANDO JOSE TEIXEIRA DE SOUZA</t>
  </si>
  <si>
    <t>Verônica do canto Martins</t>
  </si>
  <si>
    <t>Ana Luiza Severo Dos Santos</t>
  </si>
  <si>
    <t>Sonia Koetz Endres</t>
  </si>
  <si>
    <t>JOSÉ RONALDO SOARES LEITE</t>
  </si>
  <si>
    <t>ROSEMIR DA SILVA</t>
  </si>
  <si>
    <t>Eliventon ferreira da Silva</t>
  </si>
  <si>
    <t>Andre Luiz da Silva</t>
  </si>
  <si>
    <t>DORACI MATILDE DE FREITAS</t>
  </si>
  <si>
    <t>Claudia Fonseca da Silva</t>
  </si>
  <si>
    <t>PAULO EDUARDO RICHTER</t>
  </si>
  <si>
    <t>MARCELO BUENO DA SILVA</t>
  </si>
  <si>
    <t>MARIELE FATIMA DE MELO CIBULSKI</t>
  </si>
  <si>
    <t>Ana Carolina Magalhães Jeffe</t>
  </si>
  <si>
    <t>FILIPE ORTIZ JURIS</t>
  </si>
  <si>
    <t>Heleno Manolo Silveira Gutz</t>
  </si>
  <si>
    <t>DANIEL ANTUNES DA SILVA</t>
  </si>
  <si>
    <t>JESSICA DE MORAIS</t>
  </si>
  <si>
    <t>MARCELO NUNES BLASI</t>
  </si>
  <si>
    <t>MARLON ESTÊVÃO SADER</t>
  </si>
  <si>
    <t>JOSE BONFIM FABRICIO JUNIOR</t>
  </si>
  <si>
    <t>ROSINEI FELIX CANDIDO</t>
  </si>
  <si>
    <t>THIAGO RICKLI FREIRE</t>
  </si>
  <si>
    <t>Talita dos Santos Garcia Oliveira</t>
  </si>
  <si>
    <t>EDUAR GABRIEL ORTIZ GONZALEZ</t>
  </si>
  <si>
    <t>ALINE CHIAPETTI</t>
  </si>
  <si>
    <t>Thais Martins Martins</t>
  </si>
  <si>
    <t>MICHELE CRISTINA MARINS MADALENA GOES</t>
  </si>
  <si>
    <t>DAIANE APARECIDA DOS SANTOS SCHMITZ</t>
  </si>
  <si>
    <t>MARCIA NOGUEIRA HOERBE</t>
  </si>
  <si>
    <t>Franklin Palmares</t>
  </si>
  <si>
    <t>Joao Nunes Pereira</t>
  </si>
  <si>
    <t>DORACI TERESINHA TORMANN CARPES</t>
  </si>
  <si>
    <t>ADRIANA RODRIGUES DA SILVA</t>
  </si>
  <si>
    <t>ABNER PEDROSO FUSATTO</t>
  </si>
  <si>
    <t>ADELINO DOS SANTOS</t>
  </si>
  <si>
    <t>Dirceu Lemes de Paula</t>
  </si>
  <si>
    <t>Antônio do Amaral Silva</t>
  </si>
  <si>
    <t>FLAVIO VARGAS DE OLIVEIRA</t>
  </si>
  <si>
    <t>HERLO VALMOR FLORES</t>
  </si>
  <si>
    <t>Gislaine cantes Rodrigues</t>
  </si>
  <si>
    <t>Isabela Midori Yamasaki</t>
  </si>
  <si>
    <t>Carlos Alexandre Guimarães</t>
  </si>
  <si>
    <t>IVALDETE MIGLIORETTO</t>
  </si>
  <si>
    <t>ESTEVAN MOURA TERAN</t>
  </si>
  <si>
    <t>Everton Madrid do Prado</t>
  </si>
  <si>
    <t>Edevandro Venancio</t>
  </si>
  <si>
    <t>Franciele Oliveira da Silva</t>
  </si>
  <si>
    <t>JEFERSON LEONARDO FUENTES JAIME</t>
  </si>
  <si>
    <t>LARISSA BRIXNER RICA</t>
  </si>
  <si>
    <t>André Souza dos Santos</t>
  </si>
  <si>
    <t>APARECIDA DINORA DE SOUZA</t>
  </si>
  <si>
    <t>Olair Almeida</t>
  </si>
  <si>
    <t>Adilson José Rosa</t>
  </si>
  <si>
    <t>Leandro safraide</t>
  </si>
  <si>
    <t>ALAN THIAGO TOIGO DE LIMA</t>
  </si>
  <si>
    <t>CLARICE KAMMER PATRICIO</t>
  </si>
  <si>
    <t>Joel Tinfel Gonçalves de Almeida</t>
  </si>
  <si>
    <t>FELLYPH VICENTE DE LIMA</t>
  </si>
  <si>
    <t>Dejair Lourenço Gomes</t>
  </si>
  <si>
    <t>Jair Darci</t>
  </si>
  <si>
    <t>Silvia Simone Silveira Antunes</t>
  </si>
  <si>
    <t>Franciele Moura Nunes</t>
  </si>
  <si>
    <t>Jandir de oliveira Rodrigues</t>
  </si>
  <si>
    <t>Priscila Santos</t>
  </si>
  <si>
    <t>Deivid Mergen</t>
  </si>
  <si>
    <t>RICHARD JESUS GONZALEZ GALLARDO</t>
  </si>
  <si>
    <t>ELISANDRO RIBEIRO DA SILVA</t>
  </si>
  <si>
    <t>FELIPE DEON GODINHO</t>
  </si>
  <si>
    <t>MARISETE DOS SANTOS</t>
  </si>
  <si>
    <t>Pedro Da Luz Oliveira</t>
  </si>
  <si>
    <t>Neivani Pereira dos anjos</t>
  </si>
  <si>
    <t>Aurora Fátima Soares</t>
  </si>
  <si>
    <t>LUAN HENRQUE VOGT</t>
  </si>
  <si>
    <t>Murilo Arthur Santos Ferreira</t>
  </si>
  <si>
    <t>Vinicius da Silva Gomes</t>
  </si>
  <si>
    <t>WAGNER DELFINO DE CASTRO LEITE</t>
  </si>
  <si>
    <t>Barbara Farioli Brito</t>
  </si>
  <si>
    <t>Edson Penteado</t>
  </si>
  <si>
    <t>Camila Kiel Machado</t>
  </si>
  <si>
    <t>Jeimilys Jorgelys Bermudez Barrios</t>
  </si>
  <si>
    <t>JULIANA SARATE HAUSCHILD</t>
  </si>
  <si>
    <t>Sivoneia Terezinha dos Santos</t>
  </si>
  <si>
    <t>SANDRA MARA DE JESUS ORCHEL SANTANA</t>
  </si>
  <si>
    <t>MARLON AVELINO DE FRANÇA</t>
  </si>
  <si>
    <t>Joice Aparecida Pinheiro Viana</t>
  </si>
  <si>
    <t>ADRIELRIBEIRODELIMA</t>
  </si>
  <si>
    <t>Nayara Alves Lopes</t>
  </si>
  <si>
    <t>Deonilda Aparecida da Cruz</t>
  </si>
  <si>
    <t>TEREZINHA MARIA RIBEIRO SANTIAGO PEREIRA</t>
  </si>
  <si>
    <t>Jean Paollo Oliveira Filippi</t>
  </si>
  <si>
    <t>SUZANA CAETANO DOS SANTOS</t>
  </si>
  <si>
    <t>Rodrigo Matheus Scalon</t>
  </si>
  <si>
    <t>Nicolas Da Silva Pedro</t>
  </si>
  <si>
    <t>Kelly Maiza Chaves Cardoso</t>
  </si>
  <si>
    <t>Alexsandro da rocha borges</t>
  </si>
  <si>
    <t>Andressa Silva Marques</t>
  </si>
  <si>
    <t>ERVINO GRASS</t>
  </si>
  <si>
    <t>JOSEANE APARECIDA DOS SANTOS</t>
  </si>
  <si>
    <t>Solange Aparecida Ortiz</t>
  </si>
  <si>
    <t>Danilo Bugarelle</t>
  </si>
  <si>
    <t>Gisele Frasson de Souza</t>
  </si>
  <si>
    <t>Tatiane Aparecida Moreira de Freitas</t>
  </si>
  <si>
    <t>VICENZA BEAUTY PERFUMARIA E COSMETICOS LTDA</t>
  </si>
  <si>
    <t>LETICIA MAGALI DOS SANTOS</t>
  </si>
  <si>
    <t>Suzane Souza Nunes</t>
  </si>
  <si>
    <t>Janete Terezinha De Carvalho</t>
  </si>
  <si>
    <t>DIEGO CARNEIRO DE MATTOS</t>
  </si>
  <si>
    <t>ELIZANDRA ORLOSKI DE JESUS</t>
  </si>
  <si>
    <t>YAGO LUIZ HELLESHEIM</t>
  </si>
  <si>
    <t>FRANCIELE SOUZA DA SILVA</t>
  </si>
  <si>
    <t>SERGIO HENRIQUE DE LIZ SILVA</t>
  </si>
  <si>
    <t>GABRIEL DA SILVA DE BARROS</t>
  </si>
  <si>
    <t>LEONILDA TEREZINHA ZOTTI RIBEIRO</t>
  </si>
  <si>
    <t>MARIA SALETE HAMULAK</t>
  </si>
  <si>
    <t>Simone Alves</t>
  </si>
  <si>
    <t>MONISE NICOLAU</t>
  </si>
  <si>
    <t>UEX EMEI PROF MARIA TEREZINHA VALIO ELIAS DE ALMEIDA</t>
  </si>
  <si>
    <t>ERYCA TURRA DE MORAES</t>
  </si>
  <si>
    <t>PATRICIA DE MATOS RIBEIRO</t>
  </si>
  <si>
    <t>VALMIR APARECIDO ALVES</t>
  </si>
  <si>
    <t>LEANDRO PINTO CAMPAGNARO</t>
  </si>
  <si>
    <t>Tatiana da silva Jukoski</t>
  </si>
  <si>
    <t>Regiane Fonseca da Costa ferreira</t>
  </si>
  <si>
    <t>VINICIUS DE JESUS PEREIRA</t>
  </si>
  <si>
    <t>MARCOS ANTONIO ORTIZ DE CAMARGO</t>
  </si>
  <si>
    <t>HERTON ERONI ROGRIGUES SOARES</t>
  </si>
  <si>
    <t>WANDERLEY DE OLIVEIRA LOPES</t>
  </si>
  <si>
    <t>MATHEUS ZANIVAN DA SILVA</t>
  </si>
  <si>
    <t>Luciano leite da rosa</t>
  </si>
  <si>
    <t>Daiane Rodrigues da Costa</t>
  </si>
  <si>
    <t>Vardilei Forti Cordeiro</t>
  </si>
  <si>
    <t>Valéria da Silva</t>
  </si>
  <si>
    <t>EUNICE DAS GRACAS DE MATOS</t>
  </si>
  <si>
    <t>Dienifer de Oliveira da Silva</t>
  </si>
  <si>
    <t>ANA CLAUDIA DA SILVA TERRA</t>
  </si>
  <si>
    <t>SILVIO LUIZ DA SILVA</t>
  </si>
  <si>
    <t>Teresinha Leoni valache</t>
  </si>
  <si>
    <t>Mauricio Alexandre Da Silva leal</t>
  </si>
  <si>
    <t>Emerson goncalves ribeiro</t>
  </si>
  <si>
    <t>Richard Luciano Freitas cavalheiro</t>
  </si>
  <si>
    <t>WAGNER DANIEL MARTINS</t>
  </si>
  <si>
    <t>JESSIKA RODRIGUES MACHADO</t>
  </si>
  <si>
    <t>Darlei Rodrigo kaufmann</t>
  </si>
  <si>
    <t>Jeferson Luiz Teixeira damasceno</t>
  </si>
  <si>
    <t>CRISTIANE MENDES BORBA</t>
  </si>
  <si>
    <t>Roberto Artur kosminski</t>
  </si>
  <si>
    <t>VANDRESSA BARBOSA MACHADO CORREIA</t>
  </si>
  <si>
    <t>Sidnei Pereira Schinemann</t>
  </si>
  <si>
    <t>Suelen Vanessa de Lima</t>
  </si>
  <si>
    <t>NORGIDA DEL VALLE HERRERA</t>
  </si>
  <si>
    <t>João nycolas do Prado</t>
  </si>
  <si>
    <t>Amanda Lima Measias</t>
  </si>
  <si>
    <t>DEISE SILVA DE MOURA</t>
  </si>
  <si>
    <t>Lucas Juliano de Azevedo Costa</t>
  </si>
  <si>
    <t>MARIA EDUARDA LINHARES</t>
  </si>
  <si>
    <t>Luciane Aparecida Moroni Damasceno</t>
  </si>
  <si>
    <t>JOHNNY ANDERSON CHEIROLT DE MATTOS</t>
  </si>
  <si>
    <t>Luana Muniz Andrade</t>
  </si>
  <si>
    <t>EVARISTO PAULO RATIER DUTRA</t>
  </si>
  <si>
    <t>JONATAS VICCARI DE BRITO</t>
  </si>
  <si>
    <t>Marcos Eduardo Lara De Oliveira</t>
  </si>
  <si>
    <t>Guilherme de Oliveira</t>
  </si>
  <si>
    <t>SOELI ZANELLA BENTO DE MORAIS</t>
  </si>
  <si>
    <t>Eduarda dos Santos Goncalves</t>
  </si>
  <si>
    <t>Larissa Tobera</t>
  </si>
  <si>
    <t>Emerson Vieira Pereira</t>
  </si>
  <si>
    <t>MARLEI PADILHA ORTIZ</t>
  </si>
  <si>
    <t>Leandro dias brogni</t>
  </si>
  <si>
    <t>Cleci De Fátima Rodrigues</t>
  </si>
  <si>
    <t>Luana Monteiro de Lima</t>
  </si>
  <si>
    <t>Otávio Mandler de Souza</t>
  </si>
  <si>
    <t>Manoel Ricardo dos Santos Bittencourt</t>
  </si>
  <si>
    <t>Wesley Lima Espindola</t>
  </si>
  <si>
    <t>Angeli Fabiani Ertel</t>
  </si>
  <si>
    <t>MARCELO ROBERTO BASSANI</t>
  </si>
  <si>
    <t>Vanessa Pacheco Alves</t>
  </si>
  <si>
    <t>Bruno De Souza Flores</t>
  </si>
  <si>
    <t>Andreia Azevedo dos santos</t>
  </si>
  <si>
    <t>MAGZAEL LEVI BRUINSMA</t>
  </si>
  <si>
    <t>FERNANDO SILVEIRA FONTOURA</t>
  </si>
  <si>
    <t>GRACIELE ORSOLIN DO AMARAL</t>
  </si>
  <si>
    <t>Sandra Aparecida Dias da Silva</t>
  </si>
  <si>
    <t>Cristiane fagundes da rocha</t>
  </si>
  <si>
    <t>JANAINA BARBOSA VIDAL</t>
  </si>
  <si>
    <t>CARMEN NATALIA DE BASTOS</t>
  </si>
  <si>
    <t>Camila Aparecida Lima Araújo</t>
  </si>
  <si>
    <t>Luis Felipe da Silva Goulart</t>
  </si>
  <si>
    <t>Terezinha Odila Bueno</t>
  </si>
  <si>
    <t>Pamela Oliveira</t>
  </si>
  <si>
    <t>LIA DE OLIVEIRA LOPES</t>
  </si>
  <si>
    <t>MERLIS GABRIELA QUIJADA CAPATAZ</t>
  </si>
  <si>
    <t>Kewin Santos Soares</t>
  </si>
  <si>
    <t>kelwin ryann de oliveira xavier</t>
  </si>
  <si>
    <t>Tiago De Lemes</t>
  </si>
  <si>
    <t>Wesley Gabriel Santos Da Mota</t>
  </si>
  <si>
    <t>RAFAEL BRUSTOLIN</t>
  </si>
  <si>
    <t>Thirza Cecilia Barbieri</t>
  </si>
  <si>
    <t>Ananias Pedroso Do Nascimento</t>
  </si>
  <si>
    <t>JOSELIA SILVA</t>
  </si>
  <si>
    <t>Danilo Do Santos Garcia</t>
  </si>
  <si>
    <t>Marcos Evangelista De Almeida</t>
  </si>
  <si>
    <t>Serafim Vargas De Oliveira</t>
  </si>
  <si>
    <t>MARITZA DE LOS ANGELES PRADO PALMA</t>
  </si>
  <si>
    <t>Ismael Maximiliano Bock Seibert</t>
  </si>
  <si>
    <t>ISTEFANY DA SILVEIRA QUARESMA</t>
  </si>
  <si>
    <t>Vera Suzana Machado Soares</t>
  </si>
  <si>
    <t>paulo henrique da silva pacheco junior</t>
  </si>
  <si>
    <t>Yoslen Eduardo Bolívar Bolivar</t>
  </si>
  <si>
    <t>ANDREI COSTA</t>
  </si>
  <si>
    <t>Wesley Silva Dos Reis</t>
  </si>
  <si>
    <t>Maria dos Santos Simoes</t>
  </si>
  <si>
    <t>ANA MARIA DA SILVA FARIA</t>
  </si>
  <si>
    <t>EMILIANE SILVA MORAES</t>
  </si>
  <si>
    <t>EDER DOS SANTOS DA SILVA</t>
  </si>
  <si>
    <t>41054417873</t>
  </si>
  <si>
    <t>CLEBER JUNIOR PRESTES SOUZA</t>
  </si>
  <si>
    <t>Jessica Teixeira</t>
  </si>
  <si>
    <t>Ricardo dos Santos Fonseca</t>
  </si>
  <si>
    <t>Margarida Guzatti</t>
  </si>
  <si>
    <t>JOCIMAR JAIR PRETO GERHARD</t>
  </si>
  <si>
    <t>SEBASTIAO FRANCISCO RIBEIRO DA SILVA CAMARGO</t>
  </si>
  <si>
    <t>Rhaul de Oliveira Scheifer</t>
  </si>
  <si>
    <t>Nádia Gonçalves Trindade</t>
  </si>
  <si>
    <t>adriana da silva</t>
  </si>
  <si>
    <t>Dayane Santos Almenara</t>
  </si>
  <si>
    <t>INDIAMARA PAZETTI CHAVES</t>
  </si>
  <si>
    <t>CARINE DE MATTOS DA SILVA MORAES</t>
  </si>
  <si>
    <t>Jairo de Almeida Fernandes</t>
  </si>
  <si>
    <t>kelsivan Moura de Araújo</t>
  </si>
  <si>
    <t>Lucas Lima</t>
  </si>
  <si>
    <t>JESSICA PRESTES ELY</t>
  </si>
  <si>
    <t>Ediana Anete Graebner</t>
  </si>
  <si>
    <t>André William da Silva</t>
  </si>
  <si>
    <t>NATHALIA CAMILO LEAL</t>
  </si>
  <si>
    <t>Lucimar Ribeiro</t>
  </si>
  <si>
    <t>Juliano Malinski Dallolivo</t>
  </si>
  <si>
    <t>Valéria Maria Escobar Quevedo</t>
  </si>
  <si>
    <t>Ludiana Leiria Pinto da Silva</t>
  </si>
  <si>
    <t>PIZZARIA MUZZARELLA LTDA</t>
  </si>
  <si>
    <t>LILLIANA DE MAGALHÃES MELO</t>
  </si>
  <si>
    <t>Fabiano Domingues da Cruz</t>
  </si>
  <si>
    <t>Marieli Paula Krombauer Grigolo</t>
  </si>
  <si>
    <t>Rita Fiorelli Zanoni</t>
  </si>
  <si>
    <t>Silmara Pereira Galinski</t>
  </si>
  <si>
    <t>Rayane Aparecida Grillo</t>
  </si>
  <si>
    <t>Patrícia Costa da Silva</t>
  </si>
  <si>
    <t>Leonardo Da Silva Pacheco</t>
  </si>
  <si>
    <t>José Calisto Tobias</t>
  </si>
  <si>
    <t>JULIANE RODRIGUES GELOCH</t>
  </si>
  <si>
    <t>Jone Cristian Do Prado Fernandes</t>
  </si>
  <si>
    <t>NARSIS DA COSTA</t>
  </si>
  <si>
    <t>MARIA ODETE GONCALVES</t>
  </si>
  <si>
    <t>Maria de Los Angeles Morena Diaz</t>
  </si>
  <si>
    <t>ULDA BITENCOURT DE ALBERNAZ</t>
  </si>
  <si>
    <t>FABIO FRANCISCO DA CRUZ</t>
  </si>
  <si>
    <t>Aldoir Baldo</t>
  </si>
  <si>
    <t>CATIA ADRIANA TRINDADE LEUCK</t>
  </si>
  <si>
    <t>SAMUEL RODRIGUES NEVES</t>
  </si>
  <si>
    <t>ROMULO SCHERER BALDISSERA</t>
  </si>
  <si>
    <t>CAROLINE DE ALMEIDA</t>
  </si>
  <si>
    <t>PAULO CEZAR FAGUNDES</t>
  </si>
  <si>
    <t>DAIANA DOS SANTOS PIZZOLATO</t>
  </si>
  <si>
    <t>ZAGONEL S.A.</t>
  </si>
  <si>
    <t>JUCELIA FRITCH DE OLIVEIRA DA MAIA</t>
  </si>
  <si>
    <t>NELSON LUIS GOUVEIA</t>
  </si>
  <si>
    <t>SILVIO LUCHINI</t>
  </si>
  <si>
    <t>NEUSA BOTEGA</t>
  </si>
  <si>
    <t>Simoni Ramalho de Lima</t>
  </si>
  <si>
    <t>JOHN LENONN MATEUS PINHEIRO</t>
  </si>
  <si>
    <t>Jenifer Cassal Matos</t>
  </si>
  <si>
    <t>Rafaela Damacena</t>
  </si>
  <si>
    <t>MARIA DAS GRAÇAS FERREIRA SOARES</t>
  </si>
  <si>
    <t>PAULO SERGIO DO NASCIMENTO</t>
  </si>
  <si>
    <t>ALEXANDRE JOSE ZENATTI</t>
  </si>
  <si>
    <t>ANGELO MARCIO PAZ</t>
  </si>
  <si>
    <t>ALMIR ROGERIO SOARES DOS SANTOS</t>
  </si>
  <si>
    <t>Ludmila Rauana Da Silva</t>
  </si>
  <si>
    <t>MARA ADRIANE VIEIRA DOS SANTOS</t>
  </si>
  <si>
    <t>Debora Cristiane Tavares de Mattos</t>
  </si>
  <si>
    <t>Antonio Adolfo Rodrigues</t>
  </si>
  <si>
    <t>Neuza Maria Santos da trindade</t>
  </si>
  <si>
    <t>Gill Vânio de Oliveira</t>
  </si>
  <si>
    <t>Luís Eduardo Custódio Alves</t>
  </si>
  <si>
    <t>Victor Hugo Mendes Domingues</t>
  </si>
  <si>
    <t>Sabrina França Dos Santos</t>
  </si>
  <si>
    <t>LUZINETE OLIVEIRA PEREIRA</t>
  </si>
  <si>
    <t>ANA CRISTINA DOS SANTOS DA COSTA</t>
  </si>
  <si>
    <t>Suélen Da Silva Rufino</t>
  </si>
  <si>
    <t>GP PROJETOS &amp; ASSISTENCIA TECNICA LTDA</t>
  </si>
  <si>
    <t>TAUANE PAREDE</t>
  </si>
  <si>
    <t>JAIR UBIALLI</t>
  </si>
  <si>
    <t>Alan Carlos Marolli</t>
  </si>
  <si>
    <t>RAPHAEL VITORINO RIBEIRO</t>
  </si>
  <si>
    <t>Vanuza Lorenzet Bonetti</t>
  </si>
  <si>
    <t>Victoria Beulck</t>
  </si>
  <si>
    <t>Anderson Luiz Rencke Ribeiro</t>
  </si>
  <si>
    <t>Oerikeson hender Vieira matoso</t>
  </si>
  <si>
    <t>DIEGO LUIS WEBER</t>
  </si>
  <si>
    <t>MARIA HELENA DA SILVA</t>
  </si>
  <si>
    <t>Maicon Douglas Rosa</t>
  </si>
  <si>
    <t>Ereni de Fátima Ebert</t>
  </si>
  <si>
    <t>Regiane de Oliveira</t>
  </si>
  <si>
    <t>Laureano Teixeira Futra</t>
  </si>
  <si>
    <t>Lourena Aparecida Galvão nunes</t>
  </si>
  <si>
    <t>VILSON SOARES DA SILVA</t>
  </si>
  <si>
    <t>Douglas F. Vernick</t>
  </si>
  <si>
    <t>Simone Jussara Espagnol</t>
  </si>
  <si>
    <t>MAICOM BRUNO FERNANDES</t>
  </si>
  <si>
    <t>Luiz Fernando Soares Almeida</t>
  </si>
  <si>
    <t>Neida Marlene de Oliveira</t>
  </si>
  <si>
    <t>Carlos Roberto Ritter Rodrigues</t>
  </si>
  <si>
    <t>Tailson Silva</t>
  </si>
  <si>
    <t>Raiane Ferreira Santiago</t>
  </si>
  <si>
    <t>Solange Gonçalves</t>
  </si>
  <si>
    <t>Maycon Marçal da Costa Despesel</t>
  </si>
  <si>
    <t>Jessica Azevedo da Silva</t>
  </si>
  <si>
    <t>Geison Gabriel Figueiredo Pereira</t>
  </si>
  <si>
    <t>Aucelino Delfino Saifa</t>
  </si>
  <si>
    <t>ROBERTO SILVEIRA DE CARVALHO</t>
  </si>
  <si>
    <t>JULIANA VITORIA SAMPAIO DE OLIVEIRA MARIANO</t>
  </si>
  <si>
    <t>Graziela Duarte Leal</t>
  </si>
  <si>
    <t>SUZANA FERNANDES SARATT</t>
  </si>
  <si>
    <t>Fernanda Machado Limberger</t>
  </si>
  <si>
    <t>GABRIEL HENRIQUE SEHNEM</t>
  </si>
  <si>
    <t>ANDRE ARRUDA DA SILVA</t>
  </si>
  <si>
    <t>ANA MARIA DE OLIVEIRA LOPES</t>
  </si>
  <si>
    <t>Bianca Rodrigues Barbosa</t>
  </si>
  <si>
    <t>Eduarda Gabriela dos Santos Battistella</t>
  </si>
  <si>
    <t>Dinorá Iankowski Jacobsen</t>
  </si>
  <si>
    <t>GUILHERME DOS ANJOS RODRIGUES</t>
  </si>
  <si>
    <t>DURVAL JOÃO DE BARBA</t>
  </si>
  <si>
    <t>JOSIANE GABRIELA DOS SANTOS</t>
  </si>
  <si>
    <t>Gilmar da Silva Oliveira</t>
  </si>
  <si>
    <t>ALAN VAIS</t>
  </si>
  <si>
    <t>Milene Beatriz Pedro</t>
  </si>
  <si>
    <t>Valtair José Carlosso</t>
  </si>
  <si>
    <t>Vanessa Guareschi</t>
  </si>
  <si>
    <t>Cicero pereira dos santos</t>
  </si>
  <si>
    <t>Marcilene Correia Carneiro</t>
  </si>
  <si>
    <t>Elaine Wisniewski</t>
  </si>
  <si>
    <t>Luana Ribeiro de Freitas</t>
  </si>
  <si>
    <t>Alisson Junior Borges de Oliveira</t>
  </si>
  <si>
    <t>João Gustavo da Silva Barros</t>
  </si>
  <si>
    <t>Rodrigo de campos</t>
  </si>
  <si>
    <t>Tamires Vitória Lopes De Aiedo</t>
  </si>
  <si>
    <t>JOSE LUCAS DORNELLES</t>
  </si>
  <si>
    <t>JUAN CARLOS HERNANDEZ</t>
  </si>
  <si>
    <t>Raquel oliveira Da Silva</t>
  </si>
  <si>
    <t>MARISA SALETE FRIZZO FIGUEREIDO</t>
  </si>
  <si>
    <t>lucas fernandes noll</t>
  </si>
  <si>
    <t>Jéssica Francisca Hilgert</t>
  </si>
  <si>
    <t>OLIENAS MACHADO DA SILVA</t>
  </si>
  <si>
    <t>LUIZ FELIPE OLIVEIRA DA SILVA</t>
  </si>
  <si>
    <t>Eliane de Fatima Prates Rosa</t>
  </si>
  <si>
    <t>Alinor Joao Savoldi</t>
  </si>
  <si>
    <t>Luiz Fernando Oliveira De Vargas</t>
  </si>
  <si>
    <t>Vinícius Queiroz Dos Santos</t>
  </si>
  <si>
    <t>Derick Leandro Magagnin Bueno</t>
  </si>
  <si>
    <t>REGINALDO ALVES DE LIMA JUNIOR</t>
  </si>
  <si>
    <t>Vivianne Fabiano doile Bittencourte</t>
  </si>
  <si>
    <t>Ana Lucia Souto</t>
  </si>
  <si>
    <t>Andre Miranda da Cruz</t>
  </si>
  <si>
    <t>Gilberto Françade Jesus</t>
  </si>
  <si>
    <t>ALMIRANTE BORGES DE ABREU JUNIOR</t>
  </si>
  <si>
    <t>MANUELA AVILA MACIEL</t>
  </si>
  <si>
    <t>Elisa Vitória Dos Santos Flores Cerqueira</t>
  </si>
  <si>
    <t>SABRINA KEROLAINE DIAS MADALENA</t>
  </si>
  <si>
    <t>Angela Marina silveira neto</t>
  </si>
  <si>
    <t>Luis Homero dos Santos Rodrigues</t>
  </si>
  <si>
    <t>Andryele Moraes Da Rosa</t>
  </si>
  <si>
    <t>Edson Webler</t>
  </si>
  <si>
    <t>Cleiton jonathan de souza</t>
  </si>
  <si>
    <t>Telma Do Rocio Stec</t>
  </si>
  <si>
    <t>Eloir Antunes</t>
  </si>
  <si>
    <t>Edison Eduardo da Silva Dutra</t>
  </si>
  <si>
    <t>Raimundo Sousa Fonseca</t>
  </si>
  <si>
    <t>Celia de Fátima Lemes Antunes</t>
  </si>
  <si>
    <t>LEONARDO ROSA DE MELLO</t>
  </si>
  <si>
    <t>MILVANA DE SOUZA</t>
  </si>
  <si>
    <t>TIAGO JUNIOR PAIM</t>
  </si>
  <si>
    <t>LUIZ FERNANDO LOPES PRUNES</t>
  </si>
  <si>
    <t>GUILHERME AUGUSTO DE CEZARO</t>
  </si>
  <si>
    <t>NEUZA APARECIDA FERNANDES BASSI</t>
  </si>
  <si>
    <t>MARIANE OLMO DE CARVALHO</t>
  </si>
  <si>
    <t>ALAN PEREIRA DE LIMA</t>
  </si>
  <si>
    <t>DOBSON MAURICIO SCHMIDT</t>
  </si>
  <si>
    <t>RAFAEL LOPES ANDRADE</t>
  </si>
  <si>
    <t>Luís Henrique Bender</t>
  </si>
  <si>
    <t>GILMAR LUIZ SCHNEIDER</t>
  </si>
  <si>
    <t>ANA PAULA GODOI</t>
  </si>
  <si>
    <t>JAQUELINE DOS SANTOS ALVES</t>
  </si>
  <si>
    <t>Priscila Cristina de Camargo Gois</t>
  </si>
  <si>
    <t>JIONES DOS SANTOS MOCH</t>
  </si>
  <si>
    <t>ANA PAULA SILVA CORDEIRO</t>
  </si>
  <si>
    <t>Juvenice Eusebio dos santos</t>
  </si>
  <si>
    <t>EVA ALVES FAGUNDES</t>
  </si>
  <si>
    <t>Rogério Luís Schaefer</t>
  </si>
  <si>
    <t>Thiago Vicente</t>
  </si>
  <si>
    <t>ALEXANDRE DIVINO CORREIA LIMA</t>
  </si>
  <si>
    <t>Mathias Rauber Sartori</t>
  </si>
  <si>
    <t>DEBORA MATOS DA SILVA</t>
  </si>
  <si>
    <t>MJ COMERCIO E REPARACAO DE RODAS LTDA</t>
  </si>
  <si>
    <t>ELISANGELA ALVES ROLINO LIBIO</t>
  </si>
  <si>
    <t>Diego Pereira Branco</t>
  </si>
  <si>
    <t>Zonia Yelitza Mazara</t>
  </si>
  <si>
    <t>LEANDRO TEIXEIRA DE SOUZA</t>
  </si>
  <si>
    <t>EDNALDO CONCEICAO DA SILVA</t>
  </si>
  <si>
    <t>Ademilson da Silva Machado</t>
  </si>
  <si>
    <t>GECIONI DA SILVA WESTPHAL</t>
  </si>
  <si>
    <t>GILVANE GREGORIO POHLIG</t>
  </si>
  <si>
    <t>MARCIO SALVADOR</t>
  </si>
  <si>
    <t>LARISSA LUANY DOS SANTOS SOUSA</t>
  </si>
  <si>
    <t>ALINE BORGES DOS SANTOS</t>
  </si>
  <si>
    <t>MAKELI MENDES PEREIRA</t>
  </si>
  <si>
    <t>stefany gomes Diniz</t>
  </si>
  <si>
    <t>Janaína Oliveira farias</t>
  </si>
  <si>
    <t>Rosalina nunes de almeida soares</t>
  </si>
  <si>
    <t>rosane salete lang da silva</t>
  </si>
  <si>
    <t>ANTONIO RUBENS DE OLIVEIRA</t>
  </si>
  <si>
    <t>Vanessa De Oliveira Rolim</t>
  </si>
  <si>
    <t>Karolain Soares Nunes</t>
  </si>
  <si>
    <t>JOICE TORQUATO</t>
  </si>
  <si>
    <t>Fabiano cruz da silva</t>
  </si>
  <si>
    <t>Maria Rodrigues</t>
  </si>
  <si>
    <t>CLAUDEMAR DE OLIVEIRA</t>
  </si>
  <si>
    <t>PAULA DA SILVA TANSINI</t>
  </si>
  <si>
    <t>LUANA DA SILVA BARBOZA</t>
  </si>
  <si>
    <t>Charles Oliveira</t>
  </si>
  <si>
    <t>Julhana Thais Bulegon</t>
  </si>
  <si>
    <t>Creusa de Almeida Ferreira</t>
  </si>
  <si>
    <t>MARIA CLAUDIA MOREIRA DA SILVA</t>
  </si>
  <si>
    <t>Gabriel Gaffree Rodrigues</t>
  </si>
  <si>
    <t>Creusa Matias Pereira de Sousa</t>
  </si>
  <si>
    <t>Isaque Soares da Silva</t>
  </si>
  <si>
    <t>Fabiano Almeida de Lima</t>
  </si>
  <si>
    <t>Alan Eduardo dos Santos</t>
  </si>
  <si>
    <t>LUCIANE COSTA BORDINHAO</t>
  </si>
  <si>
    <t>Luciana Rodrigues Gaviao</t>
  </si>
  <si>
    <t>ANGEL GABRIEL LAYA HERRERA</t>
  </si>
  <si>
    <t>Tamara Lopes de Oliveira</t>
  </si>
  <si>
    <t>FABIO PEDROSO FROZZA</t>
  </si>
  <si>
    <t>Fabricio Ruan de Oliveira Goncalves</t>
  </si>
  <si>
    <t>Alícia de Brite</t>
  </si>
  <si>
    <t>ADEMILSON SANTANA DE SOUZA</t>
  </si>
  <si>
    <t>JULIANA QUADROS DOS SANTOS</t>
  </si>
  <si>
    <t>Meire Evelize Malaquias</t>
  </si>
  <si>
    <t>Maria De Fátima Oiveira</t>
  </si>
  <si>
    <t>CLAUDIA MARIANE BONIFACIO CAMPANHONI</t>
  </si>
  <si>
    <t>CLAUDINEI DE JESUS MOTA</t>
  </si>
  <si>
    <t>Alexia Caroline Furtado</t>
  </si>
  <si>
    <t>LUISA ERD RIGHI</t>
  </si>
  <si>
    <t>EDILAINE CHAVES FERREIRA</t>
  </si>
  <si>
    <t>Rosana Fábrico</t>
  </si>
  <si>
    <t>Liliane Ferreira de Lima</t>
  </si>
  <si>
    <t>Patricia Aparecida Barros da Silva</t>
  </si>
  <si>
    <t>Sibele Castro Dos Santos</t>
  </si>
  <si>
    <t>Osvaldo Fontoura Dos Santos</t>
  </si>
  <si>
    <t>Luciane Aparecida Beltrão Pachinski</t>
  </si>
  <si>
    <t>FELIPE COSTA DOS SANTOS</t>
  </si>
  <si>
    <t>Wuilliannys Yuliet Gonzalez Pena</t>
  </si>
  <si>
    <t>Jessica Silva Padilha</t>
  </si>
  <si>
    <t>MONICA SCHENATO</t>
  </si>
  <si>
    <t>Alisson Eduardo Neves França</t>
  </si>
  <si>
    <t>Márcia Soares Ribas de Oliveira</t>
  </si>
  <si>
    <t>Juliana Gabriela Teixeira</t>
  </si>
  <si>
    <t>Leo Fernando Silva De Vargas</t>
  </si>
  <si>
    <t>Cremilda Rodrigues Lopes</t>
  </si>
  <si>
    <t>FLORIZA DA APARECIDA BELTRAO</t>
  </si>
  <si>
    <t>JUNIOR GONCALVES DA SILVA</t>
  </si>
  <si>
    <t>laerte ribeiro</t>
  </si>
  <si>
    <t>EDUARD FABIAN QUINTERO VALERO</t>
  </si>
  <si>
    <t>Jéssica Aparecida Moraes</t>
  </si>
  <si>
    <t>Samira Silva Rosário</t>
  </si>
  <si>
    <t>Daniela de castro</t>
  </si>
  <si>
    <t>Laira Gisele Conceição paixão</t>
  </si>
  <si>
    <t>JULIANA ESPINDOLA DA SILVA</t>
  </si>
  <si>
    <t>CAROLINA MATTOS DA ROSA</t>
  </si>
  <si>
    <t>NARA REGINA TONOLLI PAIM</t>
  </si>
  <si>
    <t>DIANA MILENA ZANELLA</t>
  </si>
  <si>
    <t>IGREJA BATISTA GETSEMANI DE CHAPECO</t>
  </si>
  <si>
    <t>DIEGO LUCCA</t>
  </si>
  <si>
    <t>JEFERSON LIMA DE ARAUJO</t>
  </si>
  <si>
    <t>ELIANE DO ROCIO FERREIRA</t>
  </si>
  <si>
    <t>DALVA GENTIL DE MELLO</t>
  </si>
  <si>
    <t>PATRICIA SANTOS DE SOUZA</t>
  </si>
  <si>
    <t>LAIS NUNES CARDOSO</t>
  </si>
  <si>
    <t>Aline Krause de Oliveira</t>
  </si>
  <si>
    <t>Maria Salete Scotti</t>
  </si>
  <si>
    <t>CRISTIANO DA SILVA BORGES</t>
  </si>
  <si>
    <t>LEONARDO CARDOSO DA COSTA</t>
  </si>
  <si>
    <t>JEAN BORGES PASCHOAL</t>
  </si>
  <si>
    <t>FABIANO DOS SANTOS CARDOSO</t>
  </si>
  <si>
    <t>CARLOS VINICIUS SBARDELOTTO</t>
  </si>
  <si>
    <t>MATEUS DA SILVA FAGUNDES</t>
  </si>
  <si>
    <t>Thamiris Lima da Silva</t>
  </si>
  <si>
    <t>Matheus Eduardo Bach</t>
  </si>
  <si>
    <t>ALVERI ANTUNES BARBOSA</t>
  </si>
  <si>
    <t>ADELSON FERREIRA SOARES</t>
  </si>
  <si>
    <t>Andriela Fontana Da Silva Aguiar</t>
  </si>
  <si>
    <t>Jairo Jordão da Rosa</t>
  </si>
  <si>
    <t>RAFAEL RIBEIRO PENA</t>
  </si>
  <si>
    <t>PEDRO DA SILVA BUENO</t>
  </si>
  <si>
    <t>Francine Ribeiro Daniel</t>
  </si>
  <si>
    <t>Victoria Guilhermina Linck Da Silveira</t>
  </si>
  <si>
    <t>Luiz Fernando Paes Da Silveira</t>
  </si>
  <si>
    <t>Leticia Marina Rodrigues</t>
  </si>
  <si>
    <t>LEONARDO SANTOS MOREIRA</t>
  </si>
  <si>
    <t>Yliana josefina santil</t>
  </si>
  <si>
    <t>ANA CAROLINA BUENO LINS</t>
  </si>
  <si>
    <t>Juliana Silva de Oliveira Dossa</t>
  </si>
  <si>
    <t>JOSE BONIFACIO CORREA JUNIOR</t>
  </si>
  <si>
    <t>Francieli Reis De Souza</t>
  </si>
  <si>
    <t>Rogério Tormem</t>
  </si>
  <si>
    <t>MARILENE DA SILVA CHAVES</t>
  </si>
  <si>
    <t>ROBINSON SACRAMENTO DOS SANTOS</t>
  </si>
  <si>
    <t>Yasmin Roberta Silveira da Silva</t>
  </si>
  <si>
    <t>GOLD &amp; SILVER COMERCIO DE OURO E PRATA LTDA</t>
  </si>
  <si>
    <t>JOAO UALISON DOS SANTOS SIMIANER</t>
  </si>
  <si>
    <t>Raquel Paula da Costa Felisberto</t>
  </si>
  <si>
    <t>YASMIN DA SILVA LIMA</t>
  </si>
  <si>
    <t>DEISE FELISARDO DA SILVA SANTOS</t>
  </si>
  <si>
    <t>LEANDRO NUNES RODRIGUES</t>
  </si>
  <si>
    <t>MARTA REGINA MORAIS</t>
  </si>
  <si>
    <t>Davi Silveira</t>
  </si>
  <si>
    <t>Jessica Maria Ferreira Pereira</t>
  </si>
  <si>
    <t>Sandy Natali Pereira da Silva</t>
  </si>
  <si>
    <t>Maicon Rodrigues Silveira</t>
  </si>
  <si>
    <t>Patrik Manoel Modesto da Cruz Schneider</t>
  </si>
  <si>
    <t>Vera Lucia Simão</t>
  </si>
  <si>
    <t>DEIVISOM RODRIGUES SILVEIRA</t>
  </si>
  <si>
    <t>Bruna Dos Santos Pinheiro</t>
  </si>
  <si>
    <t>Maurício Teodoro junior</t>
  </si>
  <si>
    <t>Vanderlei Paula da Silva</t>
  </si>
  <si>
    <t>Elias da Luz</t>
  </si>
  <si>
    <t>Gustavo Messias Fraporti Miotto</t>
  </si>
  <si>
    <t>Vander Sérgio de Camargo</t>
  </si>
  <si>
    <t>Bruno Bernardo de oliveira</t>
  </si>
  <si>
    <t>Carlos Eduardo França</t>
  </si>
  <si>
    <t>AIRTON DE ASSUNCAO GONCALVES</t>
  </si>
  <si>
    <t>JEFERSON GABRIEL DE ALMEIDA</t>
  </si>
  <si>
    <t>Maiky José Chaves</t>
  </si>
  <si>
    <t>LARISSA DA SILVA FERREIRA</t>
  </si>
  <si>
    <t>Ariane Almeida Dos Santos</t>
  </si>
  <si>
    <t>Pedro Allan Ferreira dias</t>
  </si>
  <si>
    <t>BRUNA CAROLINE ALVES DA SILVA</t>
  </si>
  <si>
    <t>Kerly Gomes Cavalheiro</t>
  </si>
  <si>
    <t>Allana Karoliny Pletsch</t>
  </si>
  <si>
    <t>MILLER DAVID HENAO GARNICA</t>
  </si>
  <si>
    <t>Felipe de Oliveira Dinis</t>
  </si>
  <si>
    <t>LEVI FERREIRA DE SOUZA</t>
  </si>
  <si>
    <t>Márcio Vinicio Rangel</t>
  </si>
  <si>
    <t>Gelson strapasson</t>
  </si>
  <si>
    <t>Debora costa da silveira</t>
  </si>
  <si>
    <t>Andréia Antunes Machado</t>
  </si>
  <si>
    <t>Ariel Gonçalves</t>
  </si>
  <si>
    <t>MANUELA PERREIRA DOS SANTOS</t>
  </si>
  <si>
    <t>Diego Pisoni</t>
  </si>
  <si>
    <t>JUCELIA DAS GRACAS GONCALVES DE PAULA</t>
  </si>
  <si>
    <t>Alexandra Suelen Gutterres de Almeida</t>
  </si>
  <si>
    <t>Ivete Aparecida Barbosa pietrouski</t>
  </si>
  <si>
    <t>JEFERON NEUBERT TEIXEIRA</t>
  </si>
  <si>
    <t>Jonatan Tonin</t>
  </si>
  <si>
    <t>Jose Armando Rodrigues da Silva Junior</t>
  </si>
  <si>
    <t>VANESSA GOMES DA SILVA</t>
  </si>
  <si>
    <t>Rosane Pereira</t>
  </si>
  <si>
    <t>Ivanes Da Silva Gularte</t>
  </si>
  <si>
    <t>Debora Maria Brocardo de Souza</t>
  </si>
  <si>
    <t>WERIQUE JORGE RODRIGUES DA SILVA</t>
  </si>
  <si>
    <t>CLAUDIONOR ALVES PEREIRA</t>
  </si>
  <si>
    <t>Gilmar Alberto Steindorff</t>
  </si>
  <si>
    <t>ROSANE APARECIDA FAGUNDES DA SILVA</t>
  </si>
  <si>
    <t>CAMILA RICARDO TEIXEIRA</t>
  </si>
  <si>
    <t>Maicom rosa winkler</t>
  </si>
  <si>
    <t>Azar humberto Torrealba Linares</t>
  </si>
  <si>
    <t>FATIMA APARECIDA SILVA</t>
  </si>
  <si>
    <t>Mariana dos Reis Pinheiro</t>
  </si>
  <si>
    <t>Luiz Lacerda Carvalho</t>
  </si>
  <si>
    <t>Cleber Proença de Moraes</t>
  </si>
  <si>
    <t>elmar mauricio de castro</t>
  </si>
  <si>
    <t>Lucas Rian Oliveira Belmiro</t>
  </si>
  <si>
    <t>Aparecida Paulina De Lima</t>
  </si>
  <si>
    <t>OSINEIA APARECIDA DA SILVA</t>
  </si>
  <si>
    <t>Alexandro Severo Bedin</t>
  </si>
  <si>
    <t>Odair José Garcia Ferreira</t>
  </si>
  <si>
    <t>Jaqueline da Silva Rosa</t>
  </si>
  <si>
    <t>Anicleia Chimenes Martins</t>
  </si>
  <si>
    <t>ALLISON ARTUR SCHNELL</t>
  </si>
  <si>
    <t>Andressa Martins Machado</t>
  </si>
  <si>
    <t>Ananias Trindade Dos Santos</t>
  </si>
  <si>
    <t>Gediael machado franco</t>
  </si>
  <si>
    <t>Daniel De Paula Dantas Santos</t>
  </si>
  <si>
    <t>Ana Karollyne Batista dos Santos</t>
  </si>
  <si>
    <t>Antônio Loci Viana Da Costa</t>
  </si>
  <si>
    <t>Kamila Ferrari Moura</t>
  </si>
  <si>
    <t>Bruno Roberto Pereira Casser</t>
  </si>
  <si>
    <t>João Marcos Santos da Costa</t>
  </si>
  <si>
    <t>RYAN GUSTAVO PEREIRA LADEIA</t>
  </si>
  <si>
    <t>Luana Fernanda Fleck</t>
  </si>
  <si>
    <t>Marcelo Patricio Nascimento</t>
  </si>
  <si>
    <t>IAGO VARGAS DE LIMA</t>
  </si>
  <si>
    <t>HERALDO DE JESUS SANTOS</t>
  </si>
  <si>
    <t>William Wingelmann</t>
  </si>
  <si>
    <t>Renato Fernando Ferreira</t>
  </si>
  <si>
    <t>Qnea Rulvena de Almeida de Carvalho</t>
  </si>
  <si>
    <t>Gianluca Linhares</t>
  </si>
  <si>
    <t>ANA MARCIA DOS SANTOS</t>
  </si>
  <si>
    <t>ALEXANDRA ZIMOLONG</t>
  </si>
  <si>
    <t>Raiane Gonçalves de Abreu</t>
  </si>
  <si>
    <t>Elizane De Souza</t>
  </si>
  <si>
    <t>Janaina De Souza Padilha</t>
  </si>
  <si>
    <t>Elisete Malagutti</t>
  </si>
  <si>
    <t>Gabrieli Velasques</t>
  </si>
  <si>
    <t>Keyla Patrícia Dos Anjos</t>
  </si>
  <si>
    <t>Deivid Da Silva Guedes</t>
  </si>
  <si>
    <t>Rebeca Pakulski Ferreira Dos Reis</t>
  </si>
  <si>
    <t>TALINE TAMARA DA SILVA</t>
  </si>
  <si>
    <t>SIMONE FERREIRA DOS SANTOS BORNHIATI</t>
  </si>
  <si>
    <t>Gustavo Santos de Freitas</t>
  </si>
  <si>
    <t>IGOR FELIPE SEVERO</t>
  </si>
  <si>
    <t>THAYS FERNANDA SIQUEIRA</t>
  </si>
  <si>
    <t>Gladineia Da Rosa Cardoso</t>
  </si>
  <si>
    <t>Fábio Guilherme Poltronieri</t>
  </si>
  <si>
    <t>Deise Renata Da Silva Ramos</t>
  </si>
  <si>
    <t>João Ademir de oliveira cardoso</t>
  </si>
  <si>
    <t>Valdomiro Mendes</t>
  </si>
  <si>
    <t>MARIA DE FATIMA SOUZA</t>
  </si>
  <si>
    <t>Lusileia Socorro Souza da Costa</t>
  </si>
  <si>
    <t>ARIEL LUCAS BOLSONI</t>
  </si>
  <si>
    <t>Léia Severo De Assis</t>
  </si>
  <si>
    <t>Matheus Gregori Silva</t>
  </si>
  <si>
    <t>Gilson Pires</t>
  </si>
  <si>
    <t>ADRIANE DO SOCORRO MARTINS DE MENEZES</t>
  </si>
  <si>
    <t>Rose Meri de Santana Azevedo</t>
  </si>
  <si>
    <t>Cleusa Morinel Rodrigues</t>
  </si>
  <si>
    <t>Taylor Gabriel Venturini Flores</t>
  </si>
  <si>
    <t>Evelin Kétlin da Silva Costa</t>
  </si>
  <si>
    <t>Janaina Nunes Viana</t>
  </si>
  <si>
    <t>Anderson Kufner</t>
  </si>
  <si>
    <t>Jose Nicolau Lawisch</t>
  </si>
  <si>
    <t>Tatiane Viscente Dos Santos</t>
  </si>
  <si>
    <t>Nathalia Salenave Dos Santos</t>
  </si>
  <si>
    <t>Roque Vanderlei Penz</t>
  </si>
  <si>
    <t>ELPIDIO ALBERTO DA SILVA</t>
  </si>
  <si>
    <t>Wesley Tatsch Grazel</t>
  </si>
  <si>
    <t>ALEXANDRE VALENCE PINTO</t>
  </si>
  <si>
    <t>Gustavo Herculano Portela</t>
  </si>
  <si>
    <t>FIBRATUR TURISMO E VIAGENS LTDA</t>
  </si>
  <si>
    <t>Taciéli da Silva Costa</t>
  </si>
  <si>
    <t>ELIANE APARECIDA DE SOUZA</t>
  </si>
  <si>
    <t>Tércio Lima Neves</t>
  </si>
  <si>
    <t>ANA PAULA SOARES MATIVI</t>
  </si>
  <si>
    <t>Antonio Rodrigues dos Santos</t>
  </si>
  <si>
    <t>Nereu Vilson Carpes Pimentel</t>
  </si>
  <si>
    <t>Kelvin Marins Rosa Lopes</t>
  </si>
  <si>
    <t>Anne Ritielly Goncalves Ficher</t>
  </si>
  <si>
    <t>Emiliane Maia Dos Santos</t>
  </si>
  <si>
    <t>ELO LONGEVIDADE SAUDAVEL LTDA</t>
  </si>
  <si>
    <t>Paulo Cesar Mota Fernandes</t>
  </si>
  <si>
    <t>Maria Manuela Vargas De Moraes</t>
  </si>
  <si>
    <t>Sidineia do Santos</t>
  </si>
  <si>
    <t>Regina Aparecida Leme</t>
  </si>
  <si>
    <t>Nilson Chavez Da Silva</t>
  </si>
  <si>
    <t>RUI CARMO KUMMER</t>
  </si>
  <si>
    <t>DEYCON COMERCIO E DISTRIBUICAO LTDA</t>
  </si>
  <si>
    <t>GILSON ELIAS ALVES DA SILVA</t>
  </si>
  <si>
    <t>VOLTS AUTOMAÇÃO E MANUTENÇÃO ELÉTRICA</t>
  </si>
  <si>
    <t>NATÃ ERIC WOLFF</t>
  </si>
  <si>
    <t>DOUGLAS DE OLIVEIRA ANTUNES</t>
  </si>
  <si>
    <t>HARALT STOCK</t>
  </si>
  <si>
    <t>Julio César Correa Fonseca</t>
  </si>
  <si>
    <t>Vilma fraga rott</t>
  </si>
  <si>
    <t>E.E.I.Construindo o Amanhã LTDA</t>
  </si>
  <si>
    <t>Kariane jandres de melos</t>
  </si>
  <si>
    <t>Juliano Gonçalves</t>
  </si>
  <si>
    <t>Jurandir do Arte</t>
  </si>
  <si>
    <t>Caroline Czarnecki Del Pino</t>
  </si>
  <si>
    <t>Camila De Lurdes Prestes</t>
  </si>
  <si>
    <t>Edgar Padilha De Lima</t>
  </si>
  <si>
    <t>Simone Guimarães dos santos</t>
  </si>
  <si>
    <t>AYUME JOHANN BELARMINO</t>
  </si>
  <si>
    <t>HEITOR HENN</t>
  </si>
  <si>
    <t>ALISON ALVES RODRIGUES</t>
  </si>
  <si>
    <t>João Vitor Simão de Oliveira</t>
  </si>
  <si>
    <t>Zenilda Silva de Melo Weber</t>
  </si>
  <si>
    <t>Laiz Liviera Duarte Brasil</t>
  </si>
  <si>
    <t>Valdemir Michalichen</t>
  </si>
  <si>
    <t>Natieli Da Silva Oliveira</t>
  </si>
  <si>
    <t>CLARICE RODRIGUES</t>
  </si>
  <si>
    <t>CB - JANE APARECIDA DE BARROS</t>
  </si>
  <si>
    <t>LUCAS NOVAES DE SOUZA</t>
  </si>
  <si>
    <t>MARCELO RAGAZZON</t>
  </si>
  <si>
    <t>Letícia Fortes Ferreira</t>
  </si>
  <si>
    <t>Eliane Maria Schultz</t>
  </si>
  <si>
    <t>DIOLNEY PERES DA SILVA</t>
  </si>
  <si>
    <t>Tatiane Jesus De Camargo</t>
  </si>
  <si>
    <t>Guilherme Gulden</t>
  </si>
  <si>
    <t>Edna Nunes Soares</t>
  </si>
  <si>
    <t>FRANCIELLY CAROLINI SILVA DOS SANTOS</t>
  </si>
  <si>
    <t>Nairuby Ortiz Almeida</t>
  </si>
  <si>
    <t>Elton Dos Santos Azambuja</t>
  </si>
  <si>
    <t>CLEONICE FALCAO DA SILVA</t>
  </si>
  <si>
    <t>Jose Cesar ramos</t>
  </si>
  <si>
    <t>Rudinei Santos Da Silva</t>
  </si>
  <si>
    <t>VALDIRENE COSTA TEIXEIRA</t>
  </si>
  <si>
    <t>JUSLAINE NUNES BARRZO</t>
  </si>
  <si>
    <t>RAYSSA DA SILVA</t>
  </si>
  <si>
    <t>Eurides Lisboa Rocha</t>
  </si>
  <si>
    <t>Mikel Rodrigues Da Silva</t>
  </si>
  <si>
    <t>JORGE LUIZ GOES</t>
  </si>
  <si>
    <t>ALEXANDRE DE CESARE</t>
  </si>
  <si>
    <t>Josiel Lopes Luz</t>
  </si>
  <si>
    <t>DANIEL AGUILHEIRA</t>
  </si>
  <si>
    <t>Jackson Pereira Da Silva</t>
  </si>
  <si>
    <t>KAUE PEREIRA DE PAULA</t>
  </si>
  <si>
    <t>PAMELA ZANIRATO RIBEIRO ALEXANDRE</t>
  </si>
  <si>
    <t>Edivânia Nunes da Silva</t>
  </si>
  <si>
    <t>Monique Cristina Duarte Ferreira</t>
  </si>
  <si>
    <t>Alexandre Francisco Vieira De Souza Moraes</t>
  </si>
  <si>
    <t>Yesika Carolina Aguilera</t>
  </si>
  <si>
    <t>Fernando Marques Matos</t>
  </si>
  <si>
    <t>Rosane Alcides de barros</t>
  </si>
  <si>
    <t>Sandra Edmundo espindola</t>
  </si>
  <si>
    <t>Adriana de Moraes</t>
  </si>
  <si>
    <t>MICHELLE VIEGAS STEINERT</t>
  </si>
  <si>
    <t>SIMONE OLIVEIRA DA COSTA MARQUES</t>
  </si>
  <si>
    <t>Diéssica Aparecida Correa Costa</t>
  </si>
  <si>
    <t>Daiane Fatima Ferreira</t>
  </si>
  <si>
    <t>RETIFICA DE CABECOTES CHAPECO LTDA</t>
  </si>
  <si>
    <t>VITOR CAETANO FERREIRA</t>
  </si>
  <si>
    <t>Milene Szczerepa</t>
  </si>
  <si>
    <t>VANESSA SANTIN</t>
  </si>
  <si>
    <t>JAINE TAFAREL BORGES</t>
  </si>
  <si>
    <t>Fabiana Oliveira de Paula</t>
  </si>
  <si>
    <t>Raquel Simone Ferreira</t>
  </si>
  <si>
    <t>Gilmar Porto Machado</t>
  </si>
  <si>
    <t>Luiz Monteiro</t>
  </si>
  <si>
    <t>Elias Balles</t>
  </si>
  <si>
    <t>Sidinei Pereira Dos Santos</t>
  </si>
  <si>
    <t>Maria Aparecida Pires Leite Correia</t>
  </si>
  <si>
    <t>Fábio Ramos Benítez Júnior</t>
  </si>
  <si>
    <t>Roseli Alves Dos Santos Maximo</t>
  </si>
  <si>
    <t>MIGUEL ANDRES RODRIGUEZ ESPINOZA</t>
  </si>
  <si>
    <t>Adecio Terroni</t>
  </si>
  <si>
    <t>Antônio Alexandre Da Silva Santos</t>
  </si>
  <si>
    <t>Naidjanaira Magalhães Trindade</t>
  </si>
  <si>
    <t>Ednéia De Góes De Moraes</t>
  </si>
  <si>
    <t>Abel William Bastos Sichoski</t>
  </si>
  <si>
    <t>LUANA APARECIDA DE SOUZA</t>
  </si>
  <si>
    <t>Yuri Stecher</t>
  </si>
  <si>
    <t>Ana Paula Candia Riveiro</t>
  </si>
  <si>
    <t>Pamela Stefani Domingos Ribeiro</t>
  </si>
  <si>
    <t>ROSELI FERRAZ</t>
  </si>
  <si>
    <t>MATEUS DANIEL MUNIZ ALVEZ</t>
  </si>
  <si>
    <t>Alceu José Hickmann</t>
  </si>
  <si>
    <t>Maurício Freitosa Parente</t>
  </si>
  <si>
    <t>Luís Antônio Dos Santos</t>
  </si>
  <si>
    <t>Denise da Silva Gonzales</t>
  </si>
  <si>
    <t>Paulo Ricardo Rangel</t>
  </si>
  <si>
    <t>Meria Alves Barbosa</t>
  </si>
  <si>
    <t>Heleno Joaquim de Oliveira Alves</t>
  </si>
  <si>
    <t>Júnior Dorneles Almeida</t>
  </si>
  <si>
    <t>PAULO SERGIO DIAS RIBEIRO</t>
  </si>
  <si>
    <t>Cleonice ramos de Moraes Alves</t>
  </si>
  <si>
    <t>ISABEL CRISTINA DE OLIVEIRA</t>
  </si>
  <si>
    <t>Erasmo Da Silva</t>
  </si>
  <si>
    <t>João Gabriel Borges</t>
  </si>
  <si>
    <t>Altamiro Pereira Dos Santos</t>
  </si>
  <si>
    <t>Janaína ramirez Martins</t>
  </si>
  <si>
    <t>Paulo Fernandes de Barros</t>
  </si>
  <si>
    <t>Elisandra Oliveira Da Silva</t>
  </si>
  <si>
    <t>Martha de Lima</t>
  </si>
  <si>
    <t>Mirian Ana Pereira Baitel</t>
  </si>
  <si>
    <t>Rafael José dos Santos</t>
  </si>
  <si>
    <t>Marcia Neiva Teixeora Rodrigues</t>
  </si>
  <si>
    <t>Tatiane Cristine Trindade Carvalho</t>
  </si>
  <si>
    <t>Eduarda Emye Veloso Hayashi</t>
  </si>
  <si>
    <t>MARIA EDUARDA RAMOS</t>
  </si>
  <si>
    <t>Marcelo Soares Brandão</t>
  </si>
  <si>
    <t>RAFAELA SOUZA DA CRUZ</t>
  </si>
  <si>
    <t>Francieli Ferreira</t>
  </si>
  <si>
    <t>Fernando cesar Namur</t>
  </si>
  <si>
    <t>Olivio rota</t>
  </si>
  <si>
    <t>Ernane Barreto Kwiatkowski</t>
  </si>
  <si>
    <t>Bruno Blaya Batista</t>
  </si>
  <si>
    <t>Vanessa Zimmer Antunes</t>
  </si>
  <si>
    <t>Agatha Lorena de Oliveira Castilho</t>
  </si>
  <si>
    <t>WALDEMAR MARIANO DE SOUZA NETO</t>
  </si>
  <si>
    <t>ADRIANA DA COSTA ALVES</t>
  </si>
  <si>
    <t>Jeniffer Nicole Machado da Cunha</t>
  </si>
  <si>
    <t>LUIZ CARLOS VIEIRA FILHO</t>
  </si>
  <si>
    <t>Jhoan Inciarte</t>
  </si>
  <si>
    <t>IVONE SIFUENTE DA COSTA</t>
  </si>
  <si>
    <t>Valmir Lemes Soares</t>
  </si>
  <si>
    <t>BIANCA MARIA JAQUES</t>
  </si>
  <si>
    <t>Anatalia Dos Santos</t>
  </si>
  <si>
    <t>TAISON UILIANS MACHADO RIBEIRO</t>
  </si>
  <si>
    <t>MAIKOM RODRIGUES DANTAS</t>
  </si>
  <si>
    <t>Vilson gregorio dos reis</t>
  </si>
  <si>
    <t>Marcos Antônio Lopes Camargo</t>
  </si>
  <si>
    <t>Lucas Paulino Costa Gonçalves</t>
  </si>
  <si>
    <t>Ariane Fernandes</t>
  </si>
  <si>
    <t>CACILDO JACOBY</t>
  </si>
  <si>
    <t>KEOMA DIAS OLIVEIRA</t>
  </si>
  <si>
    <t>NYCOLAS ANTUNES GONCALVES</t>
  </si>
  <si>
    <t>WESLEI LUIS PACHECO ALVES DA ROSA</t>
  </si>
  <si>
    <t>Silvia Novaski</t>
  </si>
  <si>
    <t>Cicello santos do prado</t>
  </si>
  <si>
    <t>Débora Coll chiabotto</t>
  </si>
  <si>
    <t>EDUARDO KICH DE JESUS</t>
  </si>
  <si>
    <t>Clarissa Melo Souza</t>
  </si>
  <si>
    <t>Patrícia Pedrozo Fernandes</t>
  </si>
  <si>
    <t>Luiz Matheus Da Silva Freitas</t>
  </si>
  <si>
    <t>CARINE DOS SANTOS FERNANDES</t>
  </si>
  <si>
    <t>cibele Nunes Santos</t>
  </si>
  <si>
    <t>Angela Sabrina dos Santos Rodrigues</t>
  </si>
  <si>
    <t>Alana Larissa Alves</t>
  </si>
  <si>
    <t>AUGUSTO DA SILVA MUTHER</t>
  </si>
  <si>
    <t>Jocelaine Machado</t>
  </si>
  <si>
    <t>Karoline Pletz Gutfreund</t>
  </si>
  <si>
    <t>Aparecida das Neves Laurindo salgado</t>
  </si>
  <si>
    <t>Mateus Menna Barreto</t>
  </si>
  <si>
    <t>ADEMIR ANTONIO MACHADO</t>
  </si>
  <si>
    <t>DANUBIA LEITAO DE VARGAS</t>
  </si>
  <si>
    <t>JULY MAYRA MARTINS ALVES</t>
  </si>
  <si>
    <t>Fabiano Leandro Vieira</t>
  </si>
  <si>
    <t>JULIA GUERRA</t>
  </si>
  <si>
    <t>ASSOCIACAO DE PAIS E PROFESSORES ESCOLA B RODOLFO FOSS</t>
  </si>
  <si>
    <t>BRUNO ANDRE TEIXEIRA</t>
  </si>
  <si>
    <t>Everton Quelin Da Rosa</t>
  </si>
  <si>
    <t>Camilli Vitória Berkai Roesch</t>
  </si>
  <si>
    <t>JOSÉ MAURÍCIO MONTEIRO</t>
  </si>
  <si>
    <t>Rodrigo Gomes Da Silva</t>
  </si>
  <si>
    <t>ELISANDRA PRITSCH</t>
  </si>
  <si>
    <t>SHIRLEY APARECIDA IGNACIO</t>
  </si>
  <si>
    <t>Adriano da Rocha Duda</t>
  </si>
  <si>
    <t>JORGE MEDEIROS LANG</t>
  </si>
  <si>
    <t>JESSICA SIQUEIRA</t>
  </si>
  <si>
    <t>ADRIANO PROBST</t>
  </si>
  <si>
    <t>Daniele Maria da Silva Ferreira</t>
  </si>
  <si>
    <t>Juliana de Amorim Mello</t>
  </si>
  <si>
    <t>MICHELI CRISTINA HANEL</t>
  </si>
  <si>
    <t>Joice Estevo Padilha</t>
  </si>
  <si>
    <t>KATIANE NOGUEIRA</t>
  </si>
  <si>
    <t>Natália Elisa Pranke</t>
  </si>
  <si>
    <t>Adriane Pelech Vieira</t>
  </si>
  <si>
    <t>Giovanna Araújo proença</t>
  </si>
  <si>
    <t>LUCAS DA SILVA LOPES</t>
  </si>
  <si>
    <t>Gabriel Machado Barbieri</t>
  </si>
  <si>
    <t>EVELLYN YASMIM BATISTA DOS SANTOS</t>
  </si>
  <si>
    <t>KAMILA DE ABREU</t>
  </si>
  <si>
    <t>Luis Carlos Soares Américo</t>
  </si>
  <si>
    <t>ALESSANDRO MATEUS MENEGAIS</t>
  </si>
  <si>
    <t>YARITZA IVANA CRISTANCHO SANCHEZ</t>
  </si>
  <si>
    <t>Tailine Fernanda Soares Tormem</t>
  </si>
  <si>
    <t>Tracbel SA</t>
  </si>
  <si>
    <t>Dilione dos Santos Correa</t>
  </si>
  <si>
    <t>MARCIANO LAUTERIO DA SILVA</t>
  </si>
  <si>
    <t>RESIDENCIAL GERIATRICO CHAPECO</t>
  </si>
  <si>
    <t>JOAO ELIAS MIRANDA LORENI</t>
  </si>
  <si>
    <t>Jone Silva de Oliveira</t>
  </si>
  <si>
    <t>Lauro dos Santos Rodrigues Junior</t>
  </si>
  <si>
    <t>ALEX SANDRO ANDRESSA MATGE</t>
  </si>
  <si>
    <t>RM MANUTENÇAO E SERVICOS MECANICOS LTDA</t>
  </si>
  <si>
    <t>William Kiekow</t>
  </si>
  <si>
    <t>Matheus Pinto Dias</t>
  </si>
  <si>
    <t>Maria Fernanda Nascimento Ramos</t>
  </si>
  <si>
    <t>Thalia oliveira da Silva</t>
  </si>
  <si>
    <t>Helena rodrigues</t>
  </si>
  <si>
    <t>TONY MEDEIROS GONCALVES</t>
  </si>
  <si>
    <t>Ana Cláudia da Silva leite</t>
  </si>
  <si>
    <t>GABRIELLE FREITAS DOS SANTOS</t>
  </si>
  <si>
    <t>Gustavo Lopes Lenhart</t>
  </si>
  <si>
    <t>Marlon Brando Neves ferreira</t>
  </si>
  <si>
    <t>PASSOS PIZZARIA LTDA</t>
  </si>
  <si>
    <t>Yuri Rafael Rodrigues Freitas</t>
  </si>
  <si>
    <t>Klismman Soares borges</t>
  </si>
  <si>
    <t>NAIARA APARECIDA DOS SANTOS</t>
  </si>
  <si>
    <t>MAQUINGSON DORCE</t>
  </si>
  <si>
    <t>Elson Cavalcante</t>
  </si>
  <si>
    <t>Victor Hugo Antônio Gimenez</t>
  </si>
  <si>
    <t>Juliana Aparecida Ferreira</t>
  </si>
  <si>
    <t>MAX TAFAREL BERNARDINI</t>
  </si>
  <si>
    <t>Patrícia Fernandes Rodrigues</t>
  </si>
  <si>
    <t>MARIA GRAPIGLIA OCHOA</t>
  </si>
  <si>
    <t>Isabella Ramos Andrade</t>
  </si>
  <si>
    <t>CLEITON DO NASCIMENTO</t>
  </si>
  <si>
    <t>MATHEUS MACHADO DA SILVA</t>
  </si>
  <si>
    <t>Caroline rathke Tavares</t>
  </si>
  <si>
    <t>61.380.170 CLEITON CORTELINI</t>
  </si>
  <si>
    <t>Rosilene Alves</t>
  </si>
  <si>
    <t>CAMILA AYUB</t>
  </si>
  <si>
    <t>MARIA IVETE TEIXEIRA</t>
  </si>
  <si>
    <t>Marizabel Nascimento de Almeida</t>
  </si>
  <si>
    <t>Jaqueline Polacchini</t>
  </si>
  <si>
    <t>CLAUDEMIR VITAL DOS SANTOS</t>
  </si>
  <si>
    <t>Fabiano Nascimento De Oliveira</t>
  </si>
  <si>
    <t>Carlos Cesarino Alves Neymann</t>
  </si>
  <si>
    <t>VICTOR HENRIQUE RIBEIRO CARVALHO</t>
  </si>
  <si>
    <t>JOICE DO NASCIMENTO CAMARGO</t>
  </si>
  <si>
    <t>Maiara Oliveira Da Silva</t>
  </si>
  <si>
    <t>Luciana Mara Morandi</t>
  </si>
  <si>
    <t>DORIVAL CARDOSO</t>
  </si>
  <si>
    <t>MARIA RIZZARDO DE TONI</t>
  </si>
  <si>
    <t>Pedro Henrique Juvenal de Melo</t>
  </si>
  <si>
    <t>AMANDA DE SENA SOUZA</t>
  </si>
  <si>
    <t>Amanda Luz De Quadros</t>
  </si>
  <si>
    <t>Sandra Mara Ribeiro Lopes</t>
  </si>
  <si>
    <t>RENATO CASSAO HENRIQUETA</t>
  </si>
  <si>
    <t>Gabriel Dos Reis</t>
  </si>
  <si>
    <t>JOSUÉ DE OLIVEIRA SILVA</t>
  </si>
  <si>
    <t>José Lorencio Pereira De Moraes</t>
  </si>
  <si>
    <t>MÁRCIO MITTELSTAEDT SERAFIM</t>
  </si>
  <si>
    <t>Alejandro Urbaneja</t>
  </si>
  <si>
    <t>Michele Carvalho</t>
  </si>
  <si>
    <t>Kerolin Vitória Leite dos Santos</t>
  </si>
  <si>
    <t>Germano Augusto Machado Wentz</t>
  </si>
  <si>
    <t>JOEL MARCOS DA SILVA BADO</t>
  </si>
  <si>
    <t>Vitoria Luani Pirola</t>
  </si>
  <si>
    <t>SANDRA JAQUELINE SILVA DOS SANTOS</t>
  </si>
  <si>
    <t>GABRIELY DAIANA CAMPOS LOPES</t>
  </si>
  <si>
    <t>Luciane Lopes De Oliveira Gurgel</t>
  </si>
  <si>
    <t>Alex Dos Santos Da Costa</t>
  </si>
  <si>
    <t>YOHANDRIS NAZARETH PINTO ASTUDILLO</t>
  </si>
  <si>
    <t>47.399.288 PAULO ZEILINGER</t>
  </si>
  <si>
    <t>Dircelia Da Aparecida Lenhoso</t>
  </si>
  <si>
    <t>Alexandra Caroline Cabral de Oliveira</t>
  </si>
  <si>
    <t>MATEUS FERREIRA DO NASCIMENTO</t>
  </si>
  <si>
    <t>Gean Carlos Jung iops</t>
  </si>
  <si>
    <t>Janaína dos Santos Martinez</t>
  </si>
  <si>
    <t>Sabrina Silva</t>
  </si>
  <si>
    <t>LORRAINE COSTA D'AVILA</t>
  </si>
  <si>
    <t>Lucimara Wolf Dos Santos</t>
  </si>
  <si>
    <t>RONNYS JESUS FERRER RODRIGUEZ</t>
  </si>
  <si>
    <t>Vinicius Portella Mercio</t>
  </si>
  <si>
    <t>Douglas Superando Stricker</t>
  </si>
  <si>
    <t>Ana Paula da Silva Mendes</t>
  </si>
  <si>
    <t>Josivania Oliveira Da Silva</t>
  </si>
  <si>
    <t>NAIURA TECCHIO</t>
  </si>
  <si>
    <t>Juliano Aparecido Ordonhes</t>
  </si>
  <si>
    <t>Marcos Giovane Almada da Silva</t>
  </si>
  <si>
    <t>João Felipe Pereira Da Silva</t>
  </si>
  <si>
    <t>RITIELLY DA SILVA VASCONCELOS</t>
  </si>
  <si>
    <t>Marvan Dewes Assunção De Matos</t>
  </si>
  <si>
    <t>PLACIDO FRANCISCO RIBEIRO</t>
  </si>
  <si>
    <t>Erick Willi Ribas Castanha</t>
  </si>
  <si>
    <t>Jorge Omar Martins Júnior</t>
  </si>
  <si>
    <t>BRUNA NICOLY CARVALHO DO NASCIMENTO</t>
  </si>
  <si>
    <t>Rafael Santos Dos Santos</t>
  </si>
  <si>
    <t>Jorgina Eva Nunes Levandowsk</t>
  </si>
  <si>
    <t>Natalino Aparecido De Almeida</t>
  </si>
  <si>
    <t>Alessandro Pereira De Souza</t>
  </si>
  <si>
    <t>Maria de Lurdes Rufino Lopes</t>
  </si>
  <si>
    <t>Cilene Gomes da cruz</t>
  </si>
  <si>
    <t>LIFRANC LAURENT</t>
  </si>
  <si>
    <t>JOSE UBIRAJARA BRASILIANO</t>
  </si>
  <si>
    <t>Emir Diez de Palma</t>
  </si>
  <si>
    <t>JESSICA FERREIRA DE ANDRADE ALVES</t>
  </si>
  <si>
    <t>Janaina Silva</t>
  </si>
  <si>
    <t>ROBERTA SANTOS DA SILVA</t>
  </si>
  <si>
    <t>Ronize Barpi</t>
  </si>
  <si>
    <t>JONATAN RAFAEL SANTOS DE LIMA</t>
  </si>
  <si>
    <t>Camily Ribas Vieira</t>
  </si>
  <si>
    <t>Raniele madruga cardoso</t>
  </si>
  <si>
    <t>Nata Martins Goes</t>
  </si>
  <si>
    <t>Arnaldo Sautchuk Ronsani</t>
  </si>
  <si>
    <t>Roseli Coitinho</t>
  </si>
  <si>
    <t>JADERSON DE FREITAS VIANA</t>
  </si>
  <si>
    <t>ADEMAR ECCEL</t>
  </si>
  <si>
    <t>SEBASTIAO DE VARGAS SILVA FILHO</t>
  </si>
  <si>
    <t>UDEAN LUCENA DO NASCIMENTO JUNIOR</t>
  </si>
  <si>
    <t>GILBERTO JOSE FICAGNA</t>
  </si>
  <si>
    <t>FABIO MAURICIO DE MORAIS CONCI</t>
  </si>
  <si>
    <t>CHAPCURSOS CENTRO DE FORMACAO EIRELI</t>
  </si>
  <si>
    <t>ADELINO ILHA CLAUS</t>
  </si>
  <si>
    <t>MOISES DE MORAES SILVEIRA</t>
  </si>
  <si>
    <t>TANIA CARLESSO</t>
  </si>
  <si>
    <t>VILSON DE MATOS</t>
  </si>
  <si>
    <t>LUIZ ALBERTO ADAMCHUK</t>
  </si>
  <si>
    <t>Leonel Alves de Sousa Filho</t>
  </si>
  <si>
    <t>CENTRO DE FORMAÇÃO DE CONDUTORES DE VEICULOS AUTOMOTORES CAI</t>
  </si>
  <si>
    <t>FERNANDO BATISTELA-RUA CAETES</t>
  </si>
  <si>
    <t>CARLOS DIEGO DA CONCEICAO</t>
  </si>
  <si>
    <t>João Henrique Rodrigues</t>
  </si>
  <si>
    <t>Volmir Antônio da Rosa</t>
  </si>
  <si>
    <t>RONALDO JASCKOW DE CAMPOS</t>
  </si>
  <si>
    <t>JHONATAN ADALBERTO DE COL</t>
  </si>
  <si>
    <t>LUIZ WANDERLEI CARDOSO</t>
  </si>
  <si>
    <t>ALINE SILVEIRA</t>
  </si>
  <si>
    <t>ELVIS RODRIGO DA ROCHA</t>
  </si>
  <si>
    <t>Guilherme Quemel da Silva</t>
  </si>
  <si>
    <t>GUILHERME FLORES SOUZA DIAS</t>
  </si>
  <si>
    <t>Débora Beatriz Pereira Cabral</t>
  </si>
  <si>
    <t>Natanael Soares</t>
  </si>
  <si>
    <t>BENEDITA SILVA GALVAO</t>
  </si>
  <si>
    <t>Sebastião Fogues</t>
  </si>
  <si>
    <t>Kaylaine Karoline fortes da Silva</t>
  </si>
  <si>
    <t>Rodrigo da Silva Santejano</t>
  </si>
  <si>
    <t>Ramon Fernandes Palmas</t>
  </si>
  <si>
    <t>Lígia Mara silvestre Martins</t>
  </si>
  <si>
    <t>SAIR JESUS SUAREZ LOPEZ</t>
  </si>
  <si>
    <t>Ricardo Soares dos Santos</t>
  </si>
  <si>
    <t>Neli Moro</t>
  </si>
  <si>
    <t>Eduardo Felisberto de Carvalho</t>
  </si>
  <si>
    <t>CLEITON BOLITA BEZERRA</t>
  </si>
  <si>
    <t>OSCAR VICTOR ODORIZZI RODRIGUES DE OLIVEIRA</t>
  </si>
  <si>
    <t>EMERSON LUIS DOS SANTOS</t>
  </si>
  <si>
    <t>Cassiele Ferreira Da Silva</t>
  </si>
  <si>
    <t>Estefani manenti hernandez</t>
  </si>
  <si>
    <t>Maria Eduarda santos dos Santos</t>
  </si>
  <si>
    <t>ANDERSON CARLOS LIET</t>
  </si>
  <si>
    <t>MARTA MARIA CELLA</t>
  </si>
  <si>
    <t>Fábyo cecato Cardoso</t>
  </si>
  <si>
    <t>Beatriz morais Silva</t>
  </si>
  <si>
    <t>Karolay ferreira da silva</t>
  </si>
  <si>
    <t>FLAVIA QUEVEDO DOS SANTOS</t>
  </si>
  <si>
    <t>André Borba Garbo</t>
  </si>
  <si>
    <t>Evelin Mariana</t>
  </si>
  <si>
    <t>TIAGO RODRIGUES JUNIOR</t>
  </si>
  <si>
    <t>Ana Letícia dos Santos Robinsohn</t>
  </si>
  <si>
    <t>Caroline Martin dos Santos</t>
  </si>
  <si>
    <t>Paulina Moraes de Melo</t>
  </si>
  <si>
    <t>Fernando Sibirino</t>
  </si>
  <si>
    <t>ANA LUIZA MUNIZ SOUZA</t>
  </si>
  <si>
    <t>ABGAIL MARIA JESUS</t>
  </si>
  <si>
    <t>DINAIR ESTEVAO DE JESUS</t>
  </si>
  <si>
    <t>Ismael Karpinski Odorizzi</t>
  </si>
  <si>
    <t>Luciano Flores Hayet</t>
  </si>
  <si>
    <t>ELIANE MARILENE DORNHAUSER</t>
  </si>
  <si>
    <t>Maycon Kauan Pereira Martins</t>
  </si>
  <si>
    <t>Sergio Gustavo Ortiz Aguero</t>
  </si>
  <si>
    <t>Dulane Caroline Pereira Da Silva</t>
  </si>
  <si>
    <t>Ironi Salete Telles</t>
  </si>
  <si>
    <t>PEDRO EIDT</t>
  </si>
  <si>
    <t>Nataly Franzolin</t>
  </si>
  <si>
    <t>Antônio Celso Fonseca</t>
  </si>
  <si>
    <t>Natália Cardoso Dos Santos</t>
  </si>
  <si>
    <t>LUIZA MARINA SILVEIRA</t>
  </si>
  <si>
    <t>Antônio Laurici De Moraes</t>
  </si>
  <si>
    <t>Leandro Pereira da Silva</t>
  </si>
  <si>
    <t>Joici Mara Guerreir Da Silva</t>
  </si>
  <si>
    <t>Bruna da Costa Heyder</t>
  </si>
  <si>
    <t>Galhardo ferreira Nunes</t>
  </si>
  <si>
    <t>Claudia Josiane Gonçalves Da Silva</t>
  </si>
  <si>
    <t>Letícia dos Santos kaczorowski</t>
  </si>
  <si>
    <t>KALINE MARIANE ASSOLARI FREIRE</t>
  </si>
  <si>
    <t>Wesley centurion soares</t>
  </si>
  <si>
    <t>Maria Eduarda Alves Amarante</t>
  </si>
  <si>
    <t>Amanda Cristina Silva</t>
  </si>
  <si>
    <t>GABRIEL DE SOUZA PEIXOTO</t>
  </si>
  <si>
    <t>APARECIDA FERNANDES DE OLIVEIRA SANTOS</t>
  </si>
  <si>
    <t>Mara Eloisa Xavier Trindade</t>
  </si>
  <si>
    <t>Liliane Cardozo</t>
  </si>
  <si>
    <t>Wellington Rodrigues Abecost</t>
  </si>
  <si>
    <t>Weslley Souza Rodrigues</t>
  </si>
  <si>
    <t>Felipe Felinto Ramos</t>
  </si>
  <si>
    <t>THIAGO LAVAGNINI EMYGDIO</t>
  </si>
  <si>
    <t>Ione Romeiro Cardozo</t>
  </si>
  <si>
    <t>Milaine de Souza</t>
  </si>
  <si>
    <t>Petrolina Gelaski de Freitas</t>
  </si>
  <si>
    <t>LARISSA GOULART RIBEIRO</t>
  </si>
  <si>
    <t>fernanda cristina salgado</t>
  </si>
  <si>
    <t>José Dirceu Batista Rios</t>
  </si>
  <si>
    <t>Janaína correa do nascimento</t>
  </si>
  <si>
    <t>Eduardo Rafael da Silva Rosa</t>
  </si>
  <si>
    <t>STEFANI MARIA DE LOS ANGELES</t>
  </si>
  <si>
    <t>JOÃO CARLOS LOCATELLI</t>
  </si>
  <si>
    <t>CINTIA LOPES DA VEIGA</t>
  </si>
  <si>
    <t>DAIANE LUZ DOS SANTOS</t>
  </si>
  <si>
    <t>Bianca Cristina dos Prado</t>
  </si>
  <si>
    <t>Laiane Patricia Pedroso Vargas</t>
  </si>
  <si>
    <t>ROSANGELA DOS SANTOS</t>
  </si>
  <si>
    <t>VANESSA KRUCHINSCKI MENDONCA</t>
  </si>
  <si>
    <t>JULIMAR VANDERLEI VACCARIN</t>
  </si>
  <si>
    <t>PABLO RAFAEL QUERINO SAMPAIO</t>
  </si>
  <si>
    <t>Adriana Soares Martins</t>
  </si>
  <si>
    <t>Grasieli amorim Fogaça de Almeida</t>
  </si>
  <si>
    <t>Leandra Alves Rosa Moraes</t>
  </si>
  <si>
    <t>JOSE CARLOS VARELA DE OLIVEIRA</t>
  </si>
  <si>
    <t>Edneia Cristina Gonçalves templos</t>
  </si>
  <si>
    <t>Fransuan Edemundo de Oliveira Roveda</t>
  </si>
  <si>
    <t>Elenilza Quadros Ramos</t>
  </si>
  <si>
    <t>RICARDO AMORIN</t>
  </si>
  <si>
    <t>Elieser Ferreira Maciel</t>
  </si>
  <si>
    <t>OSNI PEREIRA</t>
  </si>
  <si>
    <t>Celina Bartolomeu Conceicao</t>
  </si>
  <si>
    <t>FABIANO DE JESUS NASCIMENTO</t>
  </si>
  <si>
    <t>Antoni Juarez Dornelles</t>
  </si>
  <si>
    <t>Wellington Eliseu Ribeiro Freitas</t>
  </si>
  <si>
    <t>DIEGO DOS SANTOS PORTO</t>
  </si>
  <si>
    <t>PRISCILA CARVALHO DE MOURA</t>
  </si>
  <si>
    <t>ANA PAULA DE ARAUJO SILVA</t>
  </si>
  <si>
    <t>MARCIA JACINTA DULLIUS</t>
  </si>
  <si>
    <t>MARCOS ADRIANO POERARI</t>
  </si>
  <si>
    <t>CRISTIANE DE FATIMA CELLI</t>
  </si>
  <si>
    <t>HENRIQUE CARLOS PAGLIOCCHI</t>
  </si>
  <si>
    <t>FERNANDA DUARTE DE FRANCISCO</t>
  </si>
  <si>
    <t>VANESSA FAVERO ZECHINI</t>
  </si>
  <si>
    <t>HENRIQUE SCHWENGBER</t>
  </si>
  <si>
    <t>CRISTIANE CHIMENDES RIBEIRO NASCIMENTO</t>
  </si>
  <si>
    <t>ROSANE DOS SANTOS NUNES</t>
  </si>
  <si>
    <t>CRISTIANO RUBINI</t>
  </si>
  <si>
    <t>ANTONIO CARLOS BAIA</t>
  </si>
  <si>
    <t>NAIR APARECIDA DE OLIVEIRA</t>
  </si>
  <si>
    <t>Elier Jose Solano Lethidel</t>
  </si>
  <si>
    <t>ANDRIEL BUENO SAMPAIO</t>
  </si>
  <si>
    <t>JAIR DA COSTA</t>
  </si>
  <si>
    <t>Julia dos Santos bortolatto</t>
  </si>
  <si>
    <t>LUCIA CASTRANHO</t>
  </si>
  <si>
    <t>Matheus fogaça Martinho</t>
  </si>
  <si>
    <t>Vanderlei Fetzner</t>
  </si>
  <si>
    <t>JANDIRA FELLES PRESTES</t>
  </si>
  <si>
    <t>PAULA DE QUADROS ALMEIDA</t>
  </si>
  <si>
    <t>GUILHERME DA SILVA DIAS</t>
  </si>
  <si>
    <t>MAIKEL HAAS</t>
  </si>
  <si>
    <t>Antônio de Mello</t>
  </si>
  <si>
    <t>Cleverson Dos Santos Belarmino</t>
  </si>
  <si>
    <t>MARCOS ANTÔNIO CORREA</t>
  </si>
  <si>
    <t>Leticia de Lima</t>
  </si>
  <si>
    <t>ASTRID LAURY OLIVARES RIVAS</t>
  </si>
  <si>
    <t>Jonathan Jose Silveira Cachapuz Ferraz</t>
  </si>
  <si>
    <t>Tiago De Morais</t>
  </si>
  <si>
    <t>ADRIETH LOBATO DA CRUZ COSTA</t>
  </si>
  <si>
    <t>Maria Aparecida Lemes de Souza</t>
  </si>
  <si>
    <t>Matheus Henrique Klein</t>
  </si>
  <si>
    <t>BRENDA LUANA BARBOSA DE ARAUJO</t>
  </si>
  <si>
    <t>Patrícia grefenhagen</t>
  </si>
  <si>
    <t>Maria Celia Borba Soares</t>
  </si>
  <si>
    <t>Neire Aparecida de lima</t>
  </si>
  <si>
    <t>Gleide Denize Rodrigues Lopes</t>
  </si>
  <si>
    <t>JULIANO RIBAS</t>
  </si>
  <si>
    <t>NILZE DELISE FRAMENTO</t>
  </si>
  <si>
    <t>LUANA CEOMARA FONTELA REVELANTE</t>
  </si>
  <si>
    <t>RUTE CRISTINA VIEIRA MURAT</t>
  </si>
  <si>
    <t>VANESSA DAHMER</t>
  </si>
  <si>
    <t>Andre da Silva Mariano</t>
  </si>
  <si>
    <t>NELSI CAPELETTO</t>
  </si>
  <si>
    <t>ALCEU SILVEIRA DE OLIVEIRA</t>
  </si>
  <si>
    <t>DANIELE LARA DA SILVA</t>
  </si>
  <si>
    <t>GERALDO CASSIMIRRO FERREIRA</t>
  </si>
  <si>
    <t>José Luiz plácido Souza</t>
  </si>
  <si>
    <t>SUELEN CARLA DA ROSA SILVA</t>
  </si>
  <si>
    <t>Diana Greice Kern</t>
  </si>
  <si>
    <t>Lucas Rodrigues de freitas</t>
  </si>
  <si>
    <t>LAIS CRISTINA DE CASTRO</t>
  </si>
  <si>
    <t>LUCAS SIGNORI</t>
  </si>
  <si>
    <t>suelen costa da silva</t>
  </si>
  <si>
    <t>ANA FLAVIA TONELI</t>
  </si>
  <si>
    <t>Mariete Claro Nunes</t>
  </si>
  <si>
    <t>ANELISE SILVA DE LIMA</t>
  </si>
  <si>
    <t>Pauline de Jesus Ávila de Andrade</t>
  </si>
  <si>
    <t>JULIANO VELOSO MEIRELES</t>
  </si>
  <si>
    <t>Consuelo Alves de Andrade</t>
  </si>
  <si>
    <t>Wesley Gustavo Schemes</t>
  </si>
  <si>
    <t>Stelamar Klein</t>
  </si>
  <si>
    <t>Dinamar Lisboa Inácio dos Santos</t>
  </si>
  <si>
    <t>Deivison De andrade</t>
  </si>
  <si>
    <t>NICOLE PEDROSO DAS NEVES</t>
  </si>
  <si>
    <t>Bianca Fabiano da Cruz Silva</t>
  </si>
  <si>
    <t>Fabiano Morgado Ferreira</t>
  </si>
  <si>
    <t>Ana Vitória Oliveira Nunes</t>
  </si>
  <si>
    <t>Sabrina Pereira Dos Santos</t>
  </si>
  <si>
    <t>Marcos Iuri Almeida Souza</t>
  </si>
  <si>
    <t>Maria Vitória Gregorio Tereza De Andrade</t>
  </si>
  <si>
    <t>Vinicios Pereira de Oliveira</t>
  </si>
  <si>
    <t>Bruna Batistela</t>
  </si>
  <si>
    <t>Willian Giovane Pereira da Silveira</t>
  </si>
  <si>
    <t>MARISTELA DOS SANTOS THESING</t>
  </si>
  <si>
    <t>Yuri Andrey Alves de Godois</t>
  </si>
  <si>
    <t>Leticia Santos Milas</t>
  </si>
  <si>
    <t>SHAIANNY RODRIGUES</t>
  </si>
  <si>
    <t>Eduarda Carvalho</t>
  </si>
  <si>
    <t>Ana Maria Martins Cardoso</t>
  </si>
  <si>
    <t>VINICIUS CRISTIANO ENGLER</t>
  </si>
  <si>
    <t>Ketlin galdino Leandro</t>
  </si>
  <si>
    <t>Alessandra veiga dos Santos</t>
  </si>
  <si>
    <t>Sirlene Daniel Maia</t>
  </si>
  <si>
    <t>Ana Vitória Souza Marins</t>
  </si>
  <si>
    <t>Carina Nunes da Silva De Souza</t>
  </si>
  <si>
    <t>MARLEIDE DA SILVA DE FREITAS</t>
  </si>
  <si>
    <t>Carlos Aberto Knebel</t>
  </si>
  <si>
    <t>Ricardo Palma Camillo Neto</t>
  </si>
  <si>
    <t>Bruno Machado Dos Santos</t>
  </si>
  <si>
    <t>Roniele Carniel</t>
  </si>
  <si>
    <t>Andreia de oliveira militz</t>
  </si>
  <si>
    <t>Tania Maria Da Silva</t>
  </si>
  <si>
    <t>Carolaine Souza de Oliveira</t>
  </si>
  <si>
    <t>Rita Plissari</t>
  </si>
  <si>
    <t>THAIS FERNANDA SANTOS CARVALHO</t>
  </si>
  <si>
    <t>ANGELO ALBERTO FERREIRA DA SILVA</t>
  </si>
  <si>
    <t>Joceli Batista Dos Santos</t>
  </si>
  <si>
    <t>CRISTIAN DE SOUZA ARGEMI</t>
  </si>
  <si>
    <t>Maite Mallmann dos Santos</t>
  </si>
  <si>
    <t>Jorge Lemos</t>
  </si>
  <si>
    <t>Dejalmo Toledo</t>
  </si>
  <si>
    <t>Tamires Dos Santos Torres De Souza</t>
  </si>
  <si>
    <t>JONATAN VARGAS CRECENCIO</t>
  </si>
  <si>
    <t>Emmanuel José Ramos Rodriguez</t>
  </si>
  <si>
    <t>Jizarita Nogueira Cavalheiro</t>
  </si>
  <si>
    <t>FLAVIO ALEXANDRE</t>
  </si>
  <si>
    <t>MARCIA SANGALI DE FREITAS</t>
  </si>
  <si>
    <t>IGREJA PRESBITERIANA INDEPENDENTE DE DOURADOS</t>
  </si>
  <si>
    <t>Bianca Júlia de Oliveira Cristofoli</t>
  </si>
  <si>
    <t>Francys Júnior Gonçalves Braga</t>
  </si>
  <si>
    <t>NATAN RENAN SANTOS</t>
  </si>
  <si>
    <t>leandra araújo colares</t>
  </si>
  <si>
    <t>Edenilson da Rosa</t>
  </si>
  <si>
    <t>Lidia Quintana magdaleno gauna</t>
  </si>
  <si>
    <t>Laísa da Silva Nascimento</t>
  </si>
  <si>
    <t>Valquiria maria de Souza Sperb</t>
  </si>
  <si>
    <t>MARINEIDE BUCHELE</t>
  </si>
  <si>
    <t>Anderson Josué Rodrigues Fontoura</t>
  </si>
  <si>
    <t>Matheus Amarante Pereira</t>
  </si>
  <si>
    <t>Emilly Cecília Morais Serafim</t>
  </si>
  <si>
    <t>VINICIUS DA SILVA MACHADO</t>
  </si>
  <si>
    <t>Shanaya jabonski possa</t>
  </si>
  <si>
    <t>Maria Inês De Aguiar</t>
  </si>
  <si>
    <t>JOAO CARLOS KSIONSKIEWICZ DA SILVA</t>
  </si>
  <si>
    <t>PAULO OZI DE OLIVEIRA DUTRA</t>
  </si>
  <si>
    <t>Cristionmar De Andrade Da Silva</t>
  </si>
  <si>
    <t>Zara Vitória Gonçalves Assunção</t>
  </si>
  <si>
    <t>FRANCIELI BURGARD DE LIMA</t>
  </si>
  <si>
    <t>Pedro Kloster</t>
  </si>
  <si>
    <t>CARLOS ALBERTO RONDON RONDON</t>
  </si>
  <si>
    <t>eli Terezinha Pacheco de Oliveira</t>
  </si>
  <si>
    <t>ELENICE DOS SANTOS DE CAMARGO</t>
  </si>
  <si>
    <t>Luiz Felipe Cauduro</t>
  </si>
  <si>
    <t>Maria Eduarda Vaz dos Santos</t>
  </si>
  <si>
    <t>CARLOS DANIEL SILVA DA SILVA</t>
  </si>
  <si>
    <t>Loreci Rodrigues da Silva</t>
  </si>
  <si>
    <t>Yasmin de Oliveira Jesus</t>
  </si>
  <si>
    <t>Daniela Cristina Pereira Genero</t>
  </si>
  <si>
    <t>JOAO GABRIEL DA CRUZ</t>
  </si>
  <si>
    <t>Ketlin Liziane Borges</t>
  </si>
  <si>
    <t>FRANCISCO ANDERSON FREITAS DA SILVA</t>
  </si>
  <si>
    <t>Maria Aparecida Chaves</t>
  </si>
  <si>
    <t>Adi Deusa Aguirre Flores</t>
  </si>
  <si>
    <t>Tatiane Cristina De Arruda Alves</t>
  </si>
  <si>
    <t>LENECI CARNEIRO</t>
  </si>
  <si>
    <t>Roseli Fernandes da Silva</t>
  </si>
  <si>
    <t>KETLYN MARQUES LIMA</t>
  </si>
  <si>
    <t>IOTSI BUENO RIES</t>
  </si>
  <si>
    <t>Astrid Angelis Rondon Munoz</t>
  </si>
  <si>
    <t>MOACIR FARAON</t>
  </si>
  <si>
    <t>luiz carlos navroski</t>
  </si>
  <si>
    <t>ELZA FERREIRA NEVES</t>
  </si>
  <si>
    <t>Stefani Cardoso Pinheiro</t>
  </si>
  <si>
    <t>Leandro Rodrigues Barcelos</t>
  </si>
  <si>
    <t>GONCALINA LEITE DE SOUZA</t>
  </si>
  <si>
    <t>Vanderleia Oliveira dos Santos</t>
  </si>
  <si>
    <t>MARIANA NODARI</t>
  </si>
  <si>
    <t>Márcio Josué Pacheco Machado</t>
  </si>
  <si>
    <t>Andiele Fontoura Coelho</t>
  </si>
  <si>
    <t>Jonatas Bruno Camargo de Franca</t>
  </si>
  <si>
    <t>Zilda Martins de lima</t>
  </si>
  <si>
    <t>ALINE MARCIA MARIA</t>
  </si>
  <si>
    <t>LETICIA BORGES DIAS</t>
  </si>
  <si>
    <t>MIROZALVA DOS SANTOS BACKES</t>
  </si>
  <si>
    <t>Matheus Lopes Goulart</t>
  </si>
  <si>
    <t>INPULSE FASHION LTDA</t>
  </si>
  <si>
    <t>Lourdes Da Silva</t>
  </si>
  <si>
    <t>Andriws Gabriel conceição Alves</t>
  </si>
  <si>
    <t>José Antônio Da Silva Bitencourt</t>
  </si>
  <si>
    <t>Maria Vitoria bueno whestphal</t>
  </si>
  <si>
    <t>Elierson Soika</t>
  </si>
  <si>
    <t>Emily Moraes da Rosa</t>
  </si>
  <si>
    <t>ivani de fatima ferreira</t>
  </si>
  <si>
    <t>Marie Flaure jn Baptiste</t>
  </si>
  <si>
    <t>FERNANDES FILIPPO</t>
  </si>
  <si>
    <t>ELIEL MATIAS PEREIRA</t>
  </si>
  <si>
    <t>Talia Vitória Ferreira da Silva</t>
  </si>
  <si>
    <t>Ana Paula Santos Lima</t>
  </si>
  <si>
    <t>ACADEMIA EFAPI FIT LTDA</t>
  </si>
  <si>
    <t>Lucas Silva Martins</t>
  </si>
  <si>
    <t>GRAZIELE PACHECO ALVES</t>
  </si>
  <si>
    <t>Fatima Terezinha M Cardoso</t>
  </si>
  <si>
    <t>Yedda Alaíde Campos De Souza</t>
  </si>
  <si>
    <t>MARIANI VAZ DE ALMEIDA SANTOS</t>
  </si>
  <si>
    <t>Kayc Gabriel Silva dos Santos</t>
  </si>
  <si>
    <t>ANGELA MARIA DE MORAES</t>
  </si>
  <si>
    <t>Rita de Cassia Marques Falcao</t>
  </si>
  <si>
    <t>Luciano Silva Brito</t>
  </si>
  <si>
    <t>JURANDIR REMOALDO</t>
  </si>
  <si>
    <t>TALIA LOPES GRANDI DA SILVA</t>
  </si>
  <si>
    <t>Elbimira Assunção França Martins</t>
  </si>
  <si>
    <t>MATHEUS DE ALMEIDA FRACA DOS REIS</t>
  </si>
  <si>
    <t>CLAUDIA KAROLINE SILVA OLIVEIRA</t>
  </si>
  <si>
    <t>ANA LUCIA FRANCISCO</t>
  </si>
  <si>
    <t>ESPAÇO FITNESS ACADEMIA</t>
  </si>
  <si>
    <t>Jussara elena batista de assis</t>
  </si>
  <si>
    <t>GENICE PEREIRA DE SOUZA</t>
  </si>
  <si>
    <t>Lara Francielle Mendes de Oliveira</t>
  </si>
  <si>
    <t>Milena Pontes Rodrigues</t>
  </si>
  <si>
    <t>GREGORY FREITAS PATITUCCI</t>
  </si>
  <si>
    <t>Paulo Vitor de brito</t>
  </si>
  <si>
    <t>Adriane Maria Wawschenowski da Silva</t>
  </si>
  <si>
    <t>RODRIGO SOARES DE MENEZES</t>
  </si>
  <si>
    <t>Adriana Mariano Mendes</t>
  </si>
  <si>
    <t>ORIZONTINA DA ROSA KANOPF</t>
  </si>
  <si>
    <t>Luana soares dos santos</t>
  </si>
  <si>
    <t>Gislaine Martins Magalhães</t>
  </si>
  <si>
    <t>DANIEL DA SILVA ORTIZ</t>
  </si>
  <si>
    <t>Valdemar José Lauermann</t>
  </si>
  <si>
    <t>Fabiana Alves De Lara</t>
  </si>
  <si>
    <t>Joanita de Andrade dos Santos</t>
  </si>
  <si>
    <t>MARISETE FATIMA DALLA CORTE</t>
  </si>
  <si>
    <t>Vereni Dias dos Santos quist</t>
  </si>
  <si>
    <t>Teresinha Elisabeth rosa martineli</t>
  </si>
  <si>
    <t>Vaniele Beatriz Nunes nascimento</t>
  </si>
  <si>
    <t>JULIANA ROMANO</t>
  </si>
  <si>
    <t>CELMAR LUIZ SOLDUCHA</t>
  </si>
  <si>
    <t>MIRIAM BUENO DA ROSA</t>
  </si>
  <si>
    <t>WHB PUBLICIDADE E PROPAGANDA LTDA</t>
  </si>
  <si>
    <t>EDUARDA APARECIDA SCHISSLER DA SILVA</t>
  </si>
  <si>
    <t>PEDRO ANTONIO GUARAGNI</t>
  </si>
  <si>
    <t>NATALIA CARDIAS</t>
  </si>
  <si>
    <t>ALEXANDRE RENI PAGGI</t>
  </si>
  <si>
    <t>RUDINEI LUIS TRENTIN RUBAS</t>
  </si>
  <si>
    <t>LUCIANE CRISTINA BARUFFI</t>
  </si>
  <si>
    <t>LUIZ SOUZA</t>
  </si>
  <si>
    <t>OSMAR VIEIRA DOS SANTOS</t>
  </si>
  <si>
    <t>Sergio Benori Rocha</t>
  </si>
  <si>
    <t>ALEXANDRA APARECIDA TOMAZ</t>
  </si>
  <si>
    <t>CB - GILBERTO SOUTO</t>
  </si>
  <si>
    <t>ALINE DA ROSA E SILVA</t>
  </si>
  <si>
    <t>JULIANO PONCIANO</t>
  </si>
  <si>
    <t>MARIO AFONSO KESSLER</t>
  </si>
  <si>
    <t>SIND DOS TRAB NAS INDUST DA CONST E DO MOB DE UMUARAMA</t>
  </si>
  <si>
    <t>LUANA MAYARA RIBEIRO</t>
  </si>
  <si>
    <t>ANDREIA PEREIRA DOS SANTOS OLIVEIRA</t>
  </si>
  <si>
    <t>EVANDRO NOVAIS DA SILVA</t>
  </si>
  <si>
    <t>Cleiton Luis Engelman</t>
  </si>
  <si>
    <t>ORLANDO ANTONIO MACHADO THIS</t>
  </si>
  <si>
    <t>Luisenia torres</t>
  </si>
  <si>
    <t>Geneci couto de Souza</t>
  </si>
  <si>
    <t>ANA CAROLINE DE BORBA</t>
  </si>
  <si>
    <t>Edna bezerra de Moura Santos</t>
  </si>
  <si>
    <t>Aline Fagundes</t>
  </si>
  <si>
    <t>Maike de Oliveira</t>
  </si>
  <si>
    <t>Guilherme Augusto Marin Kessler</t>
  </si>
  <si>
    <t>Maurício Venancio Gomes</t>
  </si>
  <si>
    <t>NATIELE GERMANO DA SILVA</t>
  </si>
  <si>
    <t>OTAVIO PEREIRA DO NASCIMENTO</t>
  </si>
  <si>
    <t>FERNANDA THAINA REZENDE DOS SANTOS</t>
  </si>
  <si>
    <t>PEDRO HENRIQUE RIBEIRO DE MORAES</t>
  </si>
  <si>
    <t>Jenifer De Oliveira</t>
  </si>
  <si>
    <t>Fernanda Marafon</t>
  </si>
  <si>
    <t>DERKIS WIRDALLINS YANES MARTINEZ</t>
  </si>
  <si>
    <t>Jenifer Wiland</t>
  </si>
  <si>
    <t>Samuel marcos sabino</t>
  </si>
  <si>
    <t>MARIE JISLAINE DOUDOU</t>
  </si>
  <si>
    <t>Jose Igor Carvalho Rivas</t>
  </si>
  <si>
    <t>NEUZA MARIA MACCARI JAGUSZESKI</t>
  </si>
  <si>
    <t>giovana da cruz rodrigues</t>
  </si>
  <si>
    <t>luiz sergio de lacerda</t>
  </si>
  <si>
    <t>GUILHERME CAPELLARI PAGGIARIN</t>
  </si>
  <si>
    <t>Marcio José da Silva</t>
  </si>
  <si>
    <t>Blandine Dessakines</t>
  </si>
  <si>
    <t>SABRINA ROBERTA LOPES BRAGA</t>
  </si>
  <si>
    <t>LUIS ENRIQUE BELLORIN ORTEGA</t>
  </si>
  <si>
    <t>José Rosemir Cistrahenn</t>
  </si>
  <si>
    <t>Raiane Cristina dos Santos Betim</t>
  </si>
  <si>
    <t>Natália Eduarda Mueller Schubert</t>
  </si>
  <si>
    <t>ERIC GABRIEL DE ALBUQUERQUE BORGES</t>
  </si>
  <si>
    <t>Maria itelina de moraes</t>
  </si>
  <si>
    <t>Edenir Luiza Siqueira</t>
  </si>
  <si>
    <t>Rosana Nunes Cordela</t>
  </si>
  <si>
    <t>NATHALIA EVELLYN RIBEIRO DOS SANTOS</t>
  </si>
  <si>
    <t>Monica Siqueira Moraes</t>
  </si>
  <si>
    <t>Juan José Poleo Diaz</t>
  </si>
  <si>
    <t>OSCAR ENRIQUE VELIZ ESTANGA</t>
  </si>
  <si>
    <t>Everaldo Moreira da Silva</t>
  </si>
  <si>
    <t>ALEXANDRA FUHRMANN MEYRING</t>
  </si>
  <si>
    <t>FERNANDA RITZEL MARTINS PADILHA SOUZA</t>
  </si>
  <si>
    <t>Jesus Enrique Luque Pérez</t>
  </si>
  <si>
    <t>LUCAS BERNARDES NUNES</t>
  </si>
  <si>
    <t>GIRLAN ESTANISLAU DOS SANTOS</t>
  </si>
  <si>
    <t>CATARINA DE CAMPOS ALVES ALONCO</t>
  </si>
  <si>
    <t>Mailon Martins</t>
  </si>
  <si>
    <t>Joselia Inês de Bittencourt Schuh</t>
  </si>
  <si>
    <t>BRUNA OLIVEIRA ROSA</t>
  </si>
  <si>
    <t>FELIPE RAFAEL SOARES SCHADE</t>
  </si>
  <si>
    <t>ERENIDES FERRER MOREIRA</t>
  </si>
  <si>
    <t>ARROIO GRANDE EMPREENDIMENTO SPE LTDA</t>
  </si>
  <si>
    <t>Robinson Kolberg</t>
  </si>
  <si>
    <t>Franciele Zanchet</t>
  </si>
  <si>
    <t>Yonaiker Alejandro Nunez Ramirez</t>
  </si>
  <si>
    <t>Barbara Ferreira da Maia</t>
  </si>
  <si>
    <t>KARINE DORNELES</t>
  </si>
  <si>
    <t>Ederson Alberto Rosário</t>
  </si>
  <si>
    <t>Moacir ubirajara alves Rubira</t>
  </si>
  <si>
    <t>Carlos Henrique Antunes</t>
  </si>
  <si>
    <t>MURILO VALENGA</t>
  </si>
  <si>
    <t>Bruno Bitencourt pimentel</t>
  </si>
  <si>
    <t>Elias Uriel Hahn de oliveira</t>
  </si>
  <si>
    <t>Nellifer da Silva Wink</t>
  </si>
  <si>
    <t>Raquel Marcondes Rangel</t>
  </si>
  <si>
    <t>Jose Renato Pallota Vaz</t>
  </si>
  <si>
    <t>Emerson Luis da Silva Batista</t>
  </si>
  <si>
    <t>Luis Daniel Hernandez Fajardo</t>
  </si>
  <si>
    <t>Tainara Daniela Carvalho</t>
  </si>
  <si>
    <t>Otávio Augusto de Almeida</t>
  </si>
  <si>
    <t>Herica mendes ferrreira</t>
  </si>
  <si>
    <t>EVANDRO GOMES FAGUNDES DA CUNHA</t>
  </si>
  <si>
    <t>Delcides Novais Maleiro</t>
  </si>
  <si>
    <t>MARLENE DOS SANTOS DA SILVA</t>
  </si>
  <si>
    <t>Coradino da Silva Ribeiro</t>
  </si>
  <si>
    <t>TEREZA IANEGITZ</t>
  </si>
  <si>
    <t>Bruna Melo Da Luz</t>
  </si>
  <si>
    <t>José Osni Pinheiro</t>
  </si>
  <si>
    <t>LUCIANA BORBA ESCOUTO</t>
  </si>
  <si>
    <t>JORGE MARTINS NASCIMENTO</t>
  </si>
  <si>
    <t>CRISPORT SERVICOS E TRANSPORTES LTDA</t>
  </si>
  <si>
    <t>Fabiano Vilmar de Lima</t>
  </si>
  <si>
    <t>Adrieli Casco dos Reis</t>
  </si>
  <si>
    <t>GENTIL DE SOUZA NAGERA</t>
  </si>
  <si>
    <t>Valdeci Benedito Da Silva</t>
  </si>
  <si>
    <t>ELEMAR BARON</t>
  </si>
  <si>
    <t>ersulina dos passos gomes</t>
  </si>
  <si>
    <t>Camila Forneck</t>
  </si>
  <si>
    <t>Cristiane Da Costa</t>
  </si>
  <si>
    <t>FELIPE MARTINI SCHIZZI</t>
  </si>
  <si>
    <t>CAROLINA VITORIA PEREIRA DE MOURA</t>
  </si>
  <si>
    <t>Fabio Alexandre Komorowski</t>
  </si>
  <si>
    <t>Mauricio Leiria Pinto</t>
  </si>
  <si>
    <t>Gabriela Freitas da Costa</t>
  </si>
  <si>
    <t>Gilberto José Kipper</t>
  </si>
  <si>
    <t>Jéssica Martins Kock</t>
  </si>
  <si>
    <t>GUSTAVO HART</t>
  </si>
  <si>
    <t>José Luiz Alves Da Silveira</t>
  </si>
  <si>
    <t>Allison David Antunes</t>
  </si>
  <si>
    <t>Regiane Nogueira Bruno da Silva</t>
  </si>
  <si>
    <t>SANDRA DE OLIVEIRA</t>
  </si>
  <si>
    <t>Thalia Rafaeli Dos Santos</t>
  </si>
  <si>
    <t>Samuel Souza Da Silva</t>
  </si>
  <si>
    <t>Fabiane fontana de Oliveira</t>
  </si>
  <si>
    <t>Anderson Farias Ibaldo</t>
  </si>
  <si>
    <t>Rogério José Moreira</t>
  </si>
  <si>
    <t>Sabrina Oliveira dos Santos</t>
  </si>
  <si>
    <t>WILLIAN MIRANDA</t>
  </si>
  <si>
    <t>Junior Marques</t>
  </si>
  <si>
    <t>Alexandre Martins</t>
  </si>
  <si>
    <t>Nilva Bencke</t>
  </si>
  <si>
    <t>HELOISA DE SOUZA GOMES</t>
  </si>
  <si>
    <t>Leovino Da Silva</t>
  </si>
  <si>
    <t>Fabiano Munhoz Courriel</t>
  </si>
  <si>
    <t>ANA LIDIA GIESEL DO PRADO</t>
  </si>
  <si>
    <t>Felipe Felix de Paula</t>
  </si>
  <si>
    <t>Karoline Franck Falcão</t>
  </si>
  <si>
    <t>Eduarda Quadros Vieira</t>
  </si>
  <si>
    <t>ANGELA PATRICIA CABRAL DO NASCIMENTO</t>
  </si>
  <si>
    <t>Domingos Pereira da Silva</t>
  </si>
  <si>
    <t>AMANDA LUISA DO NASCIMENTO RODRIGUES</t>
  </si>
  <si>
    <t>JUSTO ABRAHAM VILLASANA ROMERO</t>
  </si>
  <si>
    <t>Fernando dos Santos holosbach</t>
  </si>
  <si>
    <t>Mafalda Basso Fiorini</t>
  </si>
  <si>
    <t>Maria Oliveira Da Silva</t>
  </si>
  <si>
    <t>Liziane da Silva de Oliveira</t>
  </si>
  <si>
    <t>Isabela Rodrigues goularte</t>
  </si>
  <si>
    <t>Bernardete Maria Loncznski Cieslak</t>
  </si>
  <si>
    <t>CRISTIANE BALDEZ DIAS</t>
  </si>
  <si>
    <t>SILVIO RIBEIRO DO AMARAL</t>
  </si>
  <si>
    <t>Marcelo De Lima Rocha</t>
  </si>
  <si>
    <t>Tânia Terezinha Vargas do nascimento</t>
  </si>
  <si>
    <t>BRENDA LUISA SOUZA CAMARGO</t>
  </si>
  <si>
    <t>CRISTIANE FIABANE</t>
  </si>
  <si>
    <t>Antônio Carlos Rosário</t>
  </si>
  <si>
    <t>GABRIEL RODRIGUES MACIEL</t>
  </si>
  <si>
    <t>Vanessa Dos Santos Vargas</t>
  </si>
  <si>
    <t>Carlos Eduardo Bitencourt Machado</t>
  </si>
  <si>
    <t>João Eziquiel da luz de Paula</t>
  </si>
  <si>
    <t>Caroline Noemia</t>
  </si>
  <si>
    <t>Julia Pancera</t>
  </si>
  <si>
    <t>Daiane Cristina Ribeiro</t>
  </si>
  <si>
    <t>Silva Carolina Valdez Fajardo</t>
  </si>
  <si>
    <t>Tainá Corrêa Fontes</t>
  </si>
  <si>
    <t>Deivid Henrique Fidelis Eschtiler</t>
  </si>
  <si>
    <t>Franciele Oliveira Goudinho</t>
  </si>
  <si>
    <t>Dorival Silva</t>
  </si>
  <si>
    <t>EWANDSON SILVA CAMPOS</t>
  </si>
  <si>
    <t>Nélia Da Silva Flores</t>
  </si>
  <si>
    <t>ASDRIEL MARIANO BAEZ COUTTO</t>
  </si>
  <si>
    <t>Simone bock</t>
  </si>
  <si>
    <t>Marcello Cezar de Mello</t>
  </si>
  <si>
    <t>Silvana dos Santos suares</t>
  </si>
  <si>
    <t>Cícera Claudia de sousa</t>
  </si>
  <si>
    <t>RAFAELA CASTRO DO NASCIMENTO</t>
  </si>
  <si>
    <t>Leide Daiane Da Silva Gonçalves</t>
  </si>
  <si>
    <t>Ana Carolina Machado Nunes</t>
  </si>
  <si>
    <t>JHOANA JOSEFINA CAMPOS</t>
  </si>
  <si>
    <t>Grazielly Martins Tobaldini</t>
  </si>
  <si>
    <t>Jaques Douglas Torma Rodrigues</t>
  </si>
  <si>
    <t>Elisandra Ortiz</t>
  </si>
  <si>
    <t>ELLEN GONCALVES MOREIRA</t>
  </si>
  <si>
    <t>ALFREDO DAVID OJEDA ACOSTA</t>
  </si>
  <si>
    <t>IVETE MARIA DE MATTOS PONTES</t>
  </si>
  <si>
    <t>61.107.197valter ferreira lima</t>
  </si>
  <si>
    <t>roberto carlos follmann</t>
  </si>
  <si>
    <t>Allex Antoniollo</t>
  </si>
  <si>
    <t>Ismael Carlos Oliveira dos Santos</t>
  </si>
  <si>
    <t>Roseni Fernandes Hora</t>
  </si>
  <si>
    <t>F̫e̫r̫n̫a̫n̫d̫a̫ d̫a̫ s̫̫i̫̫l̫̫v̫̫a̫ D̫o̫r̫n̫e̫l̫es</t>
  </si>
  <si>
    <t>WILLIAM GABRIEL SILVA MELO</t>
  </si>
  <si>
    <t>Jandir Gomes da silva</t>
  </si>
  <si>
    <t>Joziele Rodovanski</t>
  </si>
  <si>
    <t>Hellen Cristine Faller Murillo</t>
  </si>
  <si>
    <t>Marcio José Da Rosa</t>
  </si>
  <si>
    <t>LUCIMERI KUHN HEEP</t>
  </si>
  <si>
    <t>Eduardo Augusto Franca de Goes dos Santos Terra</t>
  </si>
  <si>
    <t>MARCELO  APARECIDO VIEPRZ</t>
  </si>
  <si>
    <t>MARCOS JOSE KULLER DA ROCHA</t>
  </si>
  <si>
    <t>GIOVANA BAVARESCO LOPES</t>
  </si>
  <si>
    <t>JOELMA DA CONCEICAO SANTOS</t>
  </si>
  <si>
    <t>MAURICIO CEZAR PETRICH DA COSTA</t>
  </si>
  <si>
    <t>WILSON GONCALVES BORGES</t>
  </si>
  <si>
    <t>Sueli Gonçalves Neri</t>
  </si>
  <si>
    <t>Claudiomir oliveira de mattos</t>
  </si>
  <si>
    <t>Heliene de Moura baia</t>
  </si>
  <si>
    <t>EDDY THOMAS</t>
  </si>
  <si>
    <t>Adriane de Fatima maciel</t>
  </si>
  <si>
    <t>TAINA SILVA DE ALMEIDA SOUZA</t>
  </si>
  <si>
    <t>MICHEL NEGRISOLI</t>
  </si>
  <si>
    <t>Marly De Lima Mendes</t>
  </si>
  <si>
    <t>Geremias Vieira de Andrade</t>
  </si>
  <si>
    <t>Adriele da Costa Pereira</t>
  </si>
  <si>
    <t>NAIR CHAVIER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</si>
</sst>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##################"/>
  </numFmts>
  <fonts count="2" x14ac:knownFonts="1">
    <font>
      <sz val="11"/>
      <color theme="1"/>
      <name val="Calibri"/>
      <family val="2"/>
      <scheme val="minor"/>
    </font>
    <font>
      <b/>
      <sz val="10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1" xfId="0" applyFill="1" applyBorder="1"/>
    <xf numFmtId="0" fontId="0" fillId="3" borderId="2" xfId="0" applyFill="1" applyBorder="1"/>
    <xf numFmtId="14" fontId="0" fillId="3" borderId="2" xfId="0" applyNumberFormat="1" applyFill="1" applyBorder="1"/>
    <xf numFmtId="164" fontId="0" fillId="3" borderId="2" xfId="0" applyNumberFormat="1" applyFill="1" applyBorder="1"/>
    <xf numFmtId="0" fontId="0" fillId="3" borderId="3" xfId="0" applyFill="1" applyBorder="1"/>
    <xf numFmtId="0" fontId="0" fillId="0" borderId="1" xfId="0" applyBorder="1"/>
    <xf numFmtId="0" fontId="0" fillId="0" borderId="2" xfId="0" applyBorder="1"/>
    <xf numFmtId="14" fontId="0" fillId="0" borderId="2" xfId="0" applyNumberFormat="1" applyBorder="1"/>
    <xf numFmtId="164" fontId="0" fillId="0" borderId="2" xfId="0" applyNumberFormat="1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ME-COM-02740/Desktop/Base%20CR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ase"/>
      <sheetName val="Adesão"/>
      <sheetName val="Meta adesão"/>
      <sheetName val="Ativação"/>
      <sheetName val="Meta ativação"/>
      <sheetName val="Cancelamento"/>
      <sheetName val="Limite cancelamento"/>
      <sheetName val="Backlog Adesão"/>
      <sheetName val="Backlog Ativa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526C-377D-4FDE-9FBE-D714DC066601}">
  <dimension ref="A1:H1714"/>
  <sheetViews>
    <sheetView tabSelected="1" topLeftCell="A1687" workbookViewId="0">
      <selection activeCell="A1714" sqref="A1714"/>
    </sheetView>
  </sheetViews>
  <sheetFormatPr defaultRowHeight="14.4" x14ac:dyDescent="0.3"/>
  <cols>
    <col min="1" max="1" width="7" bestFit="1" customWidth="1"/>
    <col min="2" max="2" width="12.21875" bestFit="1" customWidth="1"/>
    <col min="3" max="3" width="14.77734375" bestFit="1" customWidth="1"/>
    <col min="4" max="4" width="16.5546875" bestFit="1" customWidth="1"/>
    <col min="5" max="5" width="15.77734375" bestFit="1" customWidth="1"/>
    <col min="6" max="6" width="5.88671875" bestFit="1" customWidth="1"/>
    <col min="7" max="7" width="8.5546875" bestFit="1" customWidth="1"/>
    <col min="8" max="8" width="12.5546875" bestFit="1" customWidth="1"/>
  </cols>
  <sheetData>
    <row r="1" spans="1:8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spans="1:8" x14ac:dyDescent="0.3">
      <c r="A2" s="4" t="s">
        <v>132</v>
      </c>
      <c r="B2" s="5" t="s">
        <v>31</v>
      </c>
      <c r="C2" s="6">
        <v>45833</v>
      </c>
      <c r="D2" s="7">
        <v>405</v>
      </c>
      <c r="E2" s="5" t="str">
        <f>_xlfn.XLOOKUP(D2,[1]!Tabela24[Código consultor],[1]!Tabela24[Consultor Venda],0,0,1)</f>
        <v>COM - VAA - GREICE BOEIRA DA SILVA</v>
      </c>
      <c r="F2" s="5" t="str">
        <f>_xlfn.XLOOKUP(D2,[1]!Tabela24[Código consultor],[1]!Tabela24[Canal Consultor],0,0,1)</f>
        <v>INTERNO</v>
      </c>
      <c r="G2" s="5" t="str">
        <f>_xlfn.XLOOKUP(B2,[1]!Tabela1[[Cidades ]],[1]!Tabela1[Regional],0,0,1)</f>
        <v>Maycon</v>
      </c>
      <c r="H2" s="8" t="str">
        <f>_xlfn.XLOOKUP(B2,[1]!Tabela1[[Cidades ]],[1]!Tabela1[Gerente],0,0,1)</f>
        <v>Demais coordenadores</v>
      </c>
    </row>
    <row r="3" spans="1:8" x14ac:dyDescent="0.3">
      <c r="A3" s="9" t="s">
        <v>281</v>
      </c>
      <c r="B3" s="10" t="s">
        <v>11</v>
      </c>
      <c r="C3" s="11">
        <v>45833</v>
      </c>
      <c r="D3" s="12">
        <v>738880</v>
      </c>
      <c r="E3" s="5" t="str">
        <f>_xlfn.XLOOKUP(D3,[1]!Tabela24[Código consultor],[1]!Tabela24[Consultor Venda],0,0,1)</f>
        <v>PAR - PAP - MUNDIALE - ANA LUIZA COUTO MATIAS</v>
      </c>
      <c r="F3" s="5" t="str">
        <f>_xlfn.XLOOKUP(D3,[1]!Tabela24[Código consultor],[1]!Tabela24[Canal Consultor],0,0,1)</f>
        <v>PAR_DIG</v>
      </c>
      <c r="G3" s="10" t="str">
        <f>_xlfn.XLOOKUP(B3,[1]!Tabela1[[Cidades ]],[1]!Tabela1[Regional],0,0,1)</f>
        <v>Magno</v>
      </c>
      <c r="H3" s="13" t="str">
        <f>_xlfn.XLOOKUP(B3,[1]!Tabela1[[Cidades ]],[1]!Tabela1[Gerente],0,0,1)</f>
        <v>Demais coordenadores</v>
      </c>
    </row>
    <row r="4" spans="1:8" x14ac:dyDescent="0.3">
      <c r="A4" s="4" t="s">
        <v>291</v>
      </c>
      <c r="B4" s="5" t="s">
        <v>11</v>
      </c>
      <c r="C4" s="6">
        <v>45833</v>
      </c>
      <c r="D4" s="7">
        <v>868672</v>
      </c>
      <c r="E4" s="5" t="str">
        <f>_xlfn.XLOOKUP(D4,[1]!Tabela24[Código consultor],[1]!Tabela24[Consultor Venda],0,0,1)</f>
        <v>COM - CHN - KEVIN FELIPE RODRIGUES DA SILVA LOPES</v>
      </c>
      <c r="F4" s="5" t="str">
        <f>_xlfn.XLOOKUP(D4,[1]!Tabela24[Código consultor],[1]!Tabela24[Canal Consultor],0,0,1)</f>
        <v>Pap</v>
      </c>
      <c r="G4" s="5" t="str">
        <f>_xlfn.XLOOKUP(B4,[1]!Tabela1[[Cidades ]],[1]!Tabela1[Regional],0,0,1)</f>
        <v>Magno</v>
      </c>
      <c r="H4" s="8" t="str">
        <f>_xlfn.XLOOKUP(B4,[1]!Tabela1[[Cidades ]],[1]!Tabela1[Gerente],0,0,1)</f>
        <v>Demais coordenadores</v>
      </c>
    </row>
    <row r="5" spans="1:8" x14ac:dyDescent="0.3">
      <c r="A5" s="9" t="s">
        <v>299</v>
      </c>
      <c r="B5" s="10" t="s">
        <v>10</v>
      </c>
      <c r="C5" s="11">
        <v>45833</v>
      </c>
      <c r="D5" s="12">
        <v>788656</v>
      </c>
      <c r="E5" s="5" t="str">
        <f>_xlfn.XLOOKUP(D5,[1]!Tabela24[Código consultor],[1]!Tabela24[Consultor Venda],0,0,1)</f>
        <v>PAR - STB - PAP - JOY TELECOM - GABRIELA ALVES DE GODOY</v>
      </c>
      <c r="F5" s="5" t="str">
        <f>_xlfn.XLOOKUP(D5,[1]!Tabela24[Código consultor],[1]!Tabela24[Canal Consultor],0,0,1)</f>
        <v>PAR_DIG</v>
      </c>
      <c r="G5" s="10" t="str">
        <f>_xlfn.XLOOKUP(B5,[1]!Tabela1[[Cidades ]],[1]!Tabela1[Regional],0,0,1)</f>
        <v>Jean</v>
      </c>
      <c r="H5" s="13" t="str">
        <f>_xlfn.XLOOKUP(B5,[1]!Tabela1[[Cidades ]],[1]!Tabela1[Gerente],0,0,1)</f>
        <v>Demais coordenadores</v>
      </c>
    </row>
    <row r="6" spans="1:8" x14ac:dyDescent="0.3">
      <c r="A6" s="4" t="s">
        <v>303</v>
      </c>
      <c r="B6" s="5" t="s">
        <v>23</v>
      </c>
      <c r="C6" s="6">
        <v>45833</v>
      </c>
      <c r="D6" s="7">
        <v>197832</v>
      </c>
      <c r="E6" s="5" t="str">
        <f>_xlfn.XLOOKUP(D6,[1]!Tabela24[Código consultor],[1]!Tabela24[Consultor Venda],0,0,1)</f>
        <v>DIG - CCO - RAIANE BERGAMIN</v>
      </c>
      <c r="F6" s="5" t="str">
        <f>_xlfn.XLOOKUP(D6,[1]!Tabela24[Código consultor],[1]!Tabela24[Canal Consultor],0,0,1)</f>
        <v>DIGITAL</v>
      </c>
      <c r="G6" s="5" t="str">
        <f>_xlfn.XLOOKUP(B6,[1]!Tabela1[[Cidades ]],[1]!Tabela1[Regional],0,0,1)</f>
        <v>Magno</v>
      </c>
      <c r="H6" s="8" t="str">
        <f>_xlfn.XLOOKUP(B6,[1]!Tabela1[[Cidades ]],[1]!Tabela1[Gerente],0,0,1)</f>
        <v>Demais coordenadores</v>
      </c>
    </row>
    <row r="7" spans="1:8" x14ac:dyDescent="0.3">
      <c r="A7" s="9" t="s">
        <v>282</v>
      </c>
      <c r="B7" s="10" t="s">
        <v>22</v>
      </c>
      <c r="C7" s="11">
        <v>45833</v>
      </c>
      <c r="D7" s="12">
        <v>716615</v>
      </c>
      <c r="E7" s="5" t="str">
        <f>_xlfn.XLOOKUP(D7,[1]!Tabela24[Código consultor],[1]!Tabela24[Consultor Venda],0,0,1)</f>
        <v>COM - SCR - MARCO ANTONIO NUNES DOS SANTOS</v>
      </c>
      <c r="F7" s="5" t="str">
        <f>_xlfn.XLOOKUP(D7,[1]!Tabela24[Código consultor],[1]!Tabela24[Canal Consultor],0,0,1)</f>
        <v>Pap</v>
      </c>
      <c r="G7" s="10" t="str">
        <f>_xlfn.XLOOKUP(B7,[1]!Tabela1[[Cidades ]],[1]!Tabela1[Regional],0,0,1)</f>
        <v>Magno</v>
      </c>
      <c r="H7" s="13" t="str">
        <f>_xlfn.XLOOKUP(B7,[1]!Tabela1[[Cidades ]],[1]!Tabela1[Gerente],0,0,1)</f>
        <v>Demais coordenadores</v>
      </c>
    </row>
    <row r="8" spans="1:8" x14ac:dyDescent="0.3">
      <c r="A8" s="4" t="s">
        <v>305</v>
      </c>
      <c r="B8" s="5" t="s">
        <v>76</v>
      </c>
      <c r="C8" s="6">
        <v>45833</v>
      </c>
      <c r="D8" s="7">
        <v>870268</v>
      </c>
      <c r="E8" s="5" t="str">
        <f>_xlfn.XLOOKUP(D8,[1]!Tabela24[Código consultor],[1]!Tabela24[Consultor Venda],0,0,1)</f>
        <v>COM - CIO - VITORIA LUIZA ALVES PEREIRA DA CRUZ</v>
      </c>
      <c r="F8" s="5" t="str">
        <f>_xlfn.XLOOKUP(D8,[1]!Tabela24[Código consultor],[1]!Tabela24[Canal Consultor],0,0,1)</f>
        <v>INTERNO</v>
      </c>
      <c r="G8" s="5" t="str">
        <f>_xlfn.XLOOKUP(B8,[1]!Tabela1[[Cidades ]],[1]!Tabela1[Regional],0,0,1)</f>
        <v>Alisson</v>
      </c>
      <c r="H8" s="8" t="str">
        <f>_xlfn.XLOOKUP(B8,[1]!Tabela1[[Cidades ]],[1]!Tabela1[Gerente],0,0,1)</f>
        <v>Helena</v>
      </c>
    </row>
    <row r="9" spans="1:8" x14ac:dyDescent="0.3">
      <c r="A9" s="9" t="s">
        <v>159</v>
      </c>
      <c r="B9" s="10" t="s">
        <v>11</v>
      </c>
      <c r="C9" s="11">
        <v>45833</v>
      </c>
      <c r="D9" s="12">
        <v>788656</v>
      </c>
      <c r="E9" s="5" t="str">
        <f>_xlfn.XLOOKUP(D9,[1]!Tabela24[Código consultor],[1]!Tabela24[Consultor Venda],0,0,1)</f>
        <v>PAR - STB - PAP - JOY TELECOM - GABRIELA ALVES DE GODOY</v>
      </c>
      <c r="F9" s="5" t="str">
        <f>_xlfn.XLOOKUP(D9,[1]!Tabela24[Código consultor],[1]!Tabela24[Canal Consultor],0,0,1)</f>
        <v>PAR_DIG</v>
      </c>
      <c r="G9" s="10" t="str">
        <f>_xlfn.XLOOKUP(B9,[1]!Tabela1[[Cidades ]],[1]!Tabela1[Regional],0,0,1)</f>
        <v>Magno</v>
      </c>
      <c r="H9" s="13" t="str">
        <f>_xlfn.XLOOKUP(B9,[1]!Tabela1[[Cidades ]],[1]!Tabela1[Gerente],0,0,1)</f>
        <v>Demais coordenadores</v>
      </c>
    </row>
    <row r="10" spans="1:8" x14ac:dyDescent="0.3">
      <c r="A10" s="4" t="s">
        <v>223</v>
      </c>
      <c r="B10" s="5" t="s">
        <v>19</v>
      </c>
      <c r="C10" s="6">
        <v>45833</v>
      </c>
      <c r="D10" s="7">
        <v>788656</v>
      </c>
      <c r="E10" s="5" t="str">
        <f>_xlfn.XLOOKUP(D10,[1]!Tabela24[Código consultor],[1]!Tabela24[Consultor Venda],0,0,1)</f>
        <v>PAR - STB - PAP - JOY TELECOM - GABRIELA ALVES DE GODOY</v>
      </c>
      <c r="F10" s="5" t="str">
        <f>_xlfn.XLOOKUP(D10,[1]!Tabela24[Código consultor],[1]!Tabela24[Canal Consultor],0,0,1)</f>
        <v>PAR_DIG</v>
      </c>
      <c r="G10" s="5" t="str">
        <f>_xlfn.XLOOKUP(B10,[1]!Tabela1[[Cidades ]],[1]!Tabela1[Regional],0,0,1)</f>
        <v>Magno</v>
      </c>
      <c r="H10" s="8" t="str">
        <f>_xlfn.XLOOKUP(B10,[1]!Tabela1[[Cidades ]],[1]!Tabela1[Gerente],0,0,1)</f>
        <v>Demais coordenadores</v>
      </c>
    </row>
    <row r="11" spans="1:8" x14ac:dyDescent="0.3">
      <c r="A11" s="9" t="s">
        <v>226</v>
      </c>
      <c r="B11" s="10" t="s">
        <v>76</v>
      </c>
      <c r="C11" s="11">
        <v>45833</v>
      </c>
      <c r="D11" s="12">
        <v>869886</v>
      </c>
      <c r="E11" s="5" t="str">
        <f>_xlfn.XLOOKUP(D11,[1]!Tabela24[Código consultor],[1]!Tabela24[Consultor Venda],0,0,1)</f>
        <v>COM - CIO - DALISON HENRIQUE DOS SANTOS</v>
      </c>
      <c r="F11" s="5" t="str">
        <f>_xlfn.XLOOKUP(D11,[1]!Tabela24[Código consultor],[1]!Tabela24[Canal Consultor],0,0,1)</f>
        <v>Pap</v>
      </c>
      <c r="G11" s="10" t="str">
        <f>_xlfn.XLOOKUP(B11,[1]!Tabela1[[Cidades ]],[1]!Tabela1[Regional],0,0,1)</f>
        <v>Alisson</v>
      </c>
      <c r="H11" s="13" t="str">
        <f>_xlfn.XLOOKUP(B11,[1]!Tabela1[[Cidades ]],[1]!Tabela1[Gerente],0,0,1)</f>
        <v>Helena</v>
      </c>
    </row>
    <row r="12" spans="1:8" x14ac:dyDescent="0.3">
      <c r="A12" s="4" t="s">
        <v>309</v>
      </c>
      <c r="B12" s="5" t="s">
        <v>60</v>
      </c>
      <c r="C12" s="6">
        <v>45833</v>
      </c>
      <c r="D12" s="7">
        <v>861705</v>
      </c>
      <c r="E12" s="5" t="str">
        <f>_xlfn.XLOOKUP(D12,[1]!Tabela24[Código consultor],[1]!Tabela24[Consultor Venda],0,0,1)</f>
        <v>PAR - COM - PAP - TQR - ERIKA DE OLIVEIRA GALLE</v>
      </c>
      <c r="F12" s="5" t="str">
        <f>_xlfn.XLOOKUP(D12,[1]!Tabela24[Código consultor],[1]!Tabela24[Canal Consultor],0,0,1)</f>
        <v>PAR</v>
      </c>
      <c r="G12" s="5" t="str">
        <f>_xlfn.XLOOKUP(B12,[1]!Tabela1[[Cidades ]],[1]!Tabela1[Regional],0,0,1)</f>
        <v>Magno</v>
      </c>
      <c r="H12" s="8" t="str">
        <f>_xlfn.XLOOKUP(B12,[1]!Tabela1[[Cidades ]],[1]!Tabela1[Gerente],0,0,1)</f>
        <v>Demais coordenadores</v>
      </c>
    </row>
    <row r="13" spans="1:8" x14ac:dyDescent="0.3">
      <c r="A13" s="9" t="s">
        <v>314</v>
      </c>
      <c r="B13" s="10" t="s">
        <v>10</v>
      </c>
      <c r="C13" s="11">
        <v>45833</v>
      </c>
      <c r="D13" s="12">
        <v>525458</v>
      </c>
      <c r="E13" s="5" t="str">
        <f>_xlfn.XLOOKUP(D13,[1]!Tabela24[Código consultor],[1]!Tabela24[Consultor Venda],0,0,1)</f>
        <v>PAR - ADM - GRP - FIGUEREDO MOBILE  - JOSELIO O. P. JUNIOR</v>
      </c>
      <c r="F13" s="5" t="str">
        <f>_xlfn.XLOOKUP(D13,[1]!Tabela24[Código consultor],[1]!Tabela24[Canal Consultor],0,0,1)</f>
        <v>PAR</v>
      </c>
      <c r="G13" s="10" t="str">
        <f>_xlfn.XLOOKUP(B13,[1]!Tabela1[[Cidades ]],[1]!Tabela1[Regional],0,0,1)</f>
        <v>Jean</v>
      </c>
      <c r="H13" s="13" t="str">
        <f>_xlfn.XLOOKUP(B13,[1]!Tabela1[[Cidades ]],[1]!Tabela1[Gerente],0,0,1)</f>
        <v>Demais coordenadores</v>
      </c>
    </row>
    <row r="14" spans="1:8" x14ac:dyDescent="0.3">
      <c r="A14" s="4" t="s">
        <v>283</v>
      </c>
      <c r="B14" s="5" t="s">
        <v>23</v>
      </c>
      <c r="C14" s="6">
        <v>45833</v>
      </c>
      <c r="D14" s="7">
        <v>262147</v>
      </c>
      <c r="E14" s="5" t="str">
        <f>_xlfn.XLOOKUP(D14,[1]!Tabela24[Código consultor],[1]!Tabela24[Consultor Venda],0,0,1)</f>
        <v>COM - GTI - ALESANDRA PETRY BRAZEIRO</v>
      </c>
      <c r="F14" s="5" t="str">
        <f>_xlfn.XLOOKUP(D14,[1]!Tabela24[Código consultor],[1]!Tabela24[Canal Consultor],0,0,1)</f>
        <v>Pap</v>
      </c>
      <c r="G14" s="5" t="str">
        <f>_xlfn.XLOOKUP(B14,[1]!Tabela1[[Cidades ]],[1]!Tabela1[Regional],0,0,1)</f>
        <v>Magno</v>
      </c>
      <c r="H14" s="8" t="str">
        <f>_xlfn.XLOOKUP(B14,[1]!Tabela1[[Cidades ]],[1]!Tabela1[Gerente],0,0,1)</f>
        <v>Demais coordenadores</v>
      </c>
    </row>
    <row r="15" spans="1:8" x14ac:dyDescent="0.3">
      <c r="A15" s="9" t="s">
        <v>324</v>
      </c>
      <c r="B15" s="10" t="s">
        <v>60</v>
      </c>
      <c r="C15" s="11">
        <v>45833</v>
      </c>
      <c r="D15" s="12">
        <v>262147</v>
      </c>
      <c r="E15" s="5" t="str">
        <f>_xlfn.XLOOKUP(D15,[1]!Tabela24[Código consultor],[1]!Tabela24[Consultor Venda],0,0,1)</f>
        <v>COM - GTI - ALESANDRA PETRY BRAZEIRO</v>
      </c>
      <c r="F15" s="5" t="str">
        <f>_xlfn.XLOOKUP(D15,[1]!Tabela24[Código consultor],[1]!Tabela24[Canal Consultor],0,0,1)</f>
        <v>Pap</v>
      </c>
      <c r="G15" s="10" t="str">
        <f>_xlfn.XLOOKUP(B15,[1]!Tabela1[[Cidades ]],[1]!Tabela1[Regional],0,0,1)</f>
        <v>Magno</v>
      </c>
      <c r="H15" s="13" t="str">
        <f>_xlfn.XLOOKUP(B15,[1]!Tabela1[[Cidades ]],[1]!Tabela1[Gerente],0,0,1)</f>
        <v>Demais coordenadores</v>
      </c>
    </row>
    <row r="16" spans="1:8" x14ac:dyDescent="0.3">
      <c r="A16" s="4" t="s">
        <v>284</v>
      </c>
      <c r="B16" s="5" t="s">
        <v>76</v>
      </c>
      <c r="C16" s="6">
        <v>45833</v>
      </c>
      <c r="D16" s="7">
        <v>683349</v>
      </c>
      <c r="E16" s="5" t="str">
        <f>_xlfn.XLOOKUP(D16,[1]!Tabela24[Código consultor],[1]!Tabela24[Consultor Venda],0,0,1)</f>
        <v>DIG - CCO - EVELLIN SALOA MAIA DA CONCEICAO</v>
      </c>
      <c r="F16" s="5" t="str">
        <f>_xlfn.XLOOKUP(D16,[1]!Tabela24[Código consultor],[1]!Tabela24[Canal Consultor],0,0,1)</f>
        <v>DIGITAL</v>
      </c>
      <c r="G16" s="5" t="str">
        <f>_xlfn.XLOOKUP(B16,[1]!Tabela1[[Cidades ]],[1]!Tabela1[Regional],0,0,1)</f>
        <v>Alisson</v>
      </c>
      <c r="H16" s="8" t="str">
        <f>_xlfn.XLOOKUP(B16,[1]!Tabela1[[Cidades ]],[1]!Tabela1[Gerente],0,0,1)</f>
        <v>Helena</v>
      </c>
    </row>
    <row r="17" spans="1:8" x14ac:dyDescent="0.3">
      <c r="A17" s="9" t="s">
        <v>329</v>
      </c>
      <c r="B17" s="10" t="s">
        <v>22</v>
      </c>
      <c r="C17" s="11">
        <v>45833</v>
      </c>
      <c r="D17" s="12">
        <v>880152</v>
      </c>
      <c r="E17" s="5" t="str">
        <f>_xlfn.XLOOKUP(D17,[1]!Tabela24[Código consultor],[1]!Tabela24[Consultor Venda],0,0,1)</f>
        <v>COM - CAN - JHULIANA FREITAS SCHMACHTENBERG</v>
      </c>
      <c r="F17" s="5" t="str">
        <f>_xlfn.XLOOKUP(D17,[1]!Tabela24[Código consultor],[1]!Tabela24[Canal Consultor],0,0,1)</f>
        <v>INTERNO</v>
      </c>
      <c r="G17" s="10" t="str">
        <f>_xlfn.XLOOKUP(B17,[1]!Tabela1[[Cidades ]],[1]!Tabela1[Regional],0,0,1)</f>
        <v>Magno</v>
      </c>
      <c r="H17" s="13" t="str">
        <f>_xlfn.XLOOKUP(B17,[1]!Tabela1[[Cidades ]],[1]!Tabela1[Gerente],0,0,1)</f>
        <v>Demais coordenadores</v>
      </c>
    </row>
    <row r="18" spans="1:8" x14ac:dyDescent="0.3">
      <c r="A18" s="4" t="s">
        <v>335</v>
      </c>
      <c r="B18" s="5" t="s">
        <v>31</v>
      </c>
      <c r="C18" s="6">
        <v>45833</v>
      </c>
      <c r="D18" s="7">
        <v>794227</v>
      </c>
      <c r="E18" s="5" t="str">
        <f>_xlfn.XLOOKUP(D18,[1]!Tabela24[Código consultor],[1]!Tabela24[Consultor Venda],0,0,1)</f>
        <v>PAR - PAP - TECH PERFORMANCE - Dario de Oliveira</v>
      </c>
      <c r="F18" s="5" t="str">
        <f>_xlfn.XLOOKUP(D18,[1]!Tabela24[Código consultor],[1]!Tabela24[Canal Consultor],0,0,1)</f>
        <v>Par</v>
      </c>
      <c r="G18" s="5" t="str">
        <f>_xlfn.XLOOKUP(B18,[1]!Tabela1[[Cidades ]],[1]!Tabela1[Regional],0,0,1)</f>
        <v>Maycon</v>
      </c>
      <c r="H18" s="8" t="str">
        <f>_xlfn.XLOOKUP(B18,[1]!Tabela1[[Cidades ]],[1]!Tabela1[Gerente],0,0,1)</f>
        <v>Demais coordenadores</v>
      </c>
    </row>
    <row r="19" spans="1:8" x14ac:dyDescent="0.3">
      <c r="A19" s="9" t="s">
        <v>337</v>
      </c>
      <c r="B19" s="10" t="s">
        <v>28</v>
      </c>
      <c r="C19" s="11">
        <v>45833</v>
      </c>
      <c r="D19" s="12">
        <v>878249</v>
      </c>
      <c r="E19" s="5" t="str">
        <f>_xlfn.XLOOKUP(D19,[1]!Tabela24[Código consultor],[1]!Tabela24[Consultor Venda],0,0,1)</f>
        <v>COM - LJO - ELTON RODRIGO DA SILVA GONCALVES</v>
      </c>
      <c r="F19" s="5" t="str">
        <f>_xlfn.XLOOKUP(D19,[1]!Tabela24[Código consultor],[1]!Tabela24[Canal Consultor],0,0,1)</f>
        <v>Pap</v>
      </c>
      <c r="G19" s="10" t="str">
        <f>_xlfn.XLOOKUP(B19,[1]!Tabela1[[Cidades ]],[1]!Tabela1[Regional],0,0,1)</f>
        <v>Magno</v>
      </c>
      <c r="H19" s="13" t="str">
        <f>_xlfn.XLOOKUP(B19,[1]!Tabela1[[Cidades ]],[1]!Tabela1[Gerente],0,0,1)</f>
        <v>Demais coordenadores</v>
      </c>
    </row>
    <row r="20" spans="1:8" x14ac:dyDescent="0.3">
      <c r="A20" s="4" t="s">
        <v>357</v>
      </c>
      <c r="B20" s="5" t="s">
        <v>16</v>
      </c>
      <c r="C20" s="6">
        <v>45833</v>
      </c>
      <c r="D20" s="7">
        <v>683349</v>
      </c>
      <c r="E20" s="5" t="str">
        <f>_xlfn.XLOOKUP(D20,[1]!Tabela24[Código consultor],[1]!Tabela24[Consultor Venda],0,0,1)</f>
        <v>DIG - CCO - EVELLIN SALOA MAIA DA CONCEICAO</v>
      </c>
      <c r="F20" s="5" t="str">
        <f>_xlfn.XLOOKUP(D20,[1]!Tabela24[Código consultor],[1]!Tabela24[Canal Consultor],0,0,1)</f>
        <v>DIGITAL</v>
      </c>
      <c r="G20" s="5" t="str">
        <f>_xlfn.XLOOKUP(B20,[1]!Tabela1[[Cidades ]],[1]!Tabela1[Regional],0,0,1)</f>
        <v>Magno</v>
      </c>
      <c r="H20" s="8" t="str">
        <f>_xlfn.XLOOKUP(B20,[1]!Tabela1[[Cidades ]],[1]!Tabela1[Gerente],0,0,1)</f>
        <v>Demais coordenadores</v>
      </c>
    </row>
    <row r="21" spans="1:8" x14ac:dyDescent="0.3">
      <c r="A21" s="9" t="s">
        <v>367</v>
      </c>
      <c r="B21" s="10" t="s">
        <v>23</v>
      </c>
      <c r="C21" s="11">
        <v>45833</v>
      </c>
      <c r="D21" s="12">
        <v>880152</v>
      </c>
      <c r="E21" s="5" t="str">
        <f>_xlfn.XLOOKUP(D21,[1]!Tabela24[Código consultor],[1]!Tabela24[Consultor Venda],0,0,1)</f>
        <v>COM - CAN - JHULIANA FREITAS SCHMACHTENBERG</v>
      </c>
      <c r="F21" s="5" t="str">
        <f>_xlfn.XLOOKUP(D21,[1]!Tabela24[Código consultor],[1]!Tabela24[Canal Consultor],0,0,1)</f>
        <v>INTERNO</v>
      </c>
      <c r="G21" s="10" t="str">
        <f>_xlfn.XLOOKUP(B21,[1]!Tabela1[[Cidades ]],[1]!Tabela1[Regional],0,0,1)</f>
        <v>Magno</v>
      </c>
      <c r="H21" s="13" t="str">
        <f>_xlfn.XLOOKUP(B21,[1]!Tabela1[[Cidades ]],[1]!Tabela1[Gerente],0,0,1)</f>
        <v>Demais coordenadores</v>
      </c>
    </row>
    <row r="22" spans="1:8" x14ac:dyDescent="0.3">
      <c r="A22" s="4" t="s">
        <v>368</v>
      </c>
      <c r="B22" s="5" t="s">
        <v>29</v>
      </c>
      <c r="C22" s="6">
        <v>45833</v>
      </c>
      <c r="D22" s="7">
        <v>738880</v>
      </c>
      <c r="E22" s="5" t="str">
        <f>_xlfn.XLOOKUP(D22,[1]!Tabela24[Código consultor],[1]!Tabela24[Consultor Venda],0,0,1)</f>
        <v>PAR - PAP - MUNDIALE - ANA LUIZA COUTO MATIAS</v>
      </c>
      <c r="F22" s="5" t="str">
        <f>_xlfn.XLOOKUP(D22,[1]!Tabela24[Código consultor],[1]!Tabela24[Canal Consultor],0,0,1)</f>
        <v>PAR_DIG</v>
      </c>
      <c r="G22" s="5" t="str">
        <f>_xlfn.XLOOKUP(B22,[1]!Tabela1[[Cidades ]],[1]!Tabela1[Regional],0,0,1)</f>
        <v>Adilson</v>
      </c>
      <c r="H22" s="8" t="str">
        <f>_xlfn.XLOOKUP(B22,[1]!Tabela1[[Cidades ]],[1]!Tabela1[Gerente],0,0,1)</f>
        <v>Demais coordenadores</v>
      </c>
    </row>
    <row r="23" spans="1:8" x14ac:dyDescent="0.3">
      <c r="A23" s="9" t="s">
        <v>369</v>
      </c>
      <c r="B23" s="10" t="s">
        <v>22</v>
      </c>
      <c r="C23" s="11">
        <v>45833</v>
      </c>
      <c r="D23" s="12">
        <v>872852</v>
      </c>
      <c r="E23" s="5" t="str">
        <f>_xlfn.XLOOKUP(D23,[1]!Tabela24[Código consultor],[1]!Tabela24[Consultor Venda],0,0,1)</f>
        <v>COM - SCR - ALEXANDRE SANTOS RODRIGUES</v>
      </c>
      <c r="F23" s="5" t="str">
        <f>_xlfn.XLOOKUP(D23,[1]!Tabela24[Código consultor],[1]!Tabela24[Canal Consultor],0,0,1)</f>
        <v>Pap</v>
      </c>
      <c r="G23" s="10" t="str">
        <f>_xlfn.XLOOKUP(B23,[1]!Tabela1[[Cidades ]],[1]!Tabela1[Regional],0,0,1)</f>
        <v>Magno</v>
      </c>
      <c r="H23" s="13" t="str">
        <f>_xlfn.XLOOKUP(B23,[1]!Tabela1[[Cidades ]],[1]!Tabela1[Gerente],0,0,1)</f>
        <v>Demais coordenadores</v>
      </c>
    </row>
    <row r="24" spans="1:8" x14ac:dyDescent="0.3">
      <c r="A24" s="4" t="s">
        <v>370</v>
      </c>
      <c r="B24" s="5" t="s">
        <v>37</v>
      </c>
      <c r="C24" s="6">
        <v>45833</v>
      </c>
      <c r="D24" s="7">
        <v>881485</v>
      </c>
      <c r="E24" s="5" t="str">
        <f>_xlfn.XLOOKUP(D24,[1]!Tabela24[Código consultor],[1]!Tabela24[Consultor Venda],0,0,1)</f>
        <v>COM - SOC - ERICSSON CUNHA DE PAULA ANHAIA</v>
      </c>
      <c r="F24" s="5" t="str">
        <f>_xlfn.XLOOKUP(D24,[1]!Tabela24[Código consultor],[1]!Tabela24[Canal Consultor],0,0,1)</f>
        <v>Pap</v>
      </c>
      <c r="G24" s="5" t="str">
        <f>_xlfn.XLOOKUP(B24,[1]!Tabela1[[Cidades ]],[1]!Tabela1[Regional],0,0,1)</f>
        <v>Jean</v>
      </c>
      <c r="H24" s="8" t="str">
        <f>_xlfn.XLOOKUP(B24,[1]!Tabela1[[Cidades ]],[1]!Tabela1[Gerente],0,0,1)</f>
        <v>Demais coordenadores</v>
      </c>
    </row>
    <row r="25" spans="1:8" x14ac:dyDescent="0.3">
      <c r="A25" s="9" t="s">
        <v>377</v>
      </c>
      <c r="B25" s="10" t="s">
        <v>37</v>
      </c>
      <c r="C25" s="11">
        <v>45833</v>
      </c>
      <c r="D25" s="12">
        <v>886911</v>
      </c>
      <c r="E25" s="5" t="str">
        <f>_xlfn.XLOOKUP(D25,[1]!Tabela24[Código consultor],[1]!Tabela24[Consultor Venda],0,0,1)</f>
        <v>COM - SOC - KAUAN ARAUJO SILVA</v>
      </c>
      <c r="F25" s="5" t="str">
        <f>_xlfn.XLOOKUP(D25,[1]!Tabela24[Código consultor],[1]!Tabela24[Canal Consultor],0,0,1)</f>
        <v>Pap</v>
      </c>
      <c r="G25" s="10" t="str">
        <f>_xlfn.XLOOKUP(B25,[1]!Tabela1[[Cidades ]],[1]!Tabela1[Regional],0,0,1)</f>
        <v>Jean</v>
      </c>
      <c r="H25" s="13" t="str">
        <f>_xlfn.XLOOKUP(B25,[1]!Tabela1[[Cidades ]],[1]!Tabela1[Gerente],0,0,1)</f>
        <v>Demais coordenadores</v>
      </c>
    </row>
    <row r="26" spans="1:8" x14ac:dyDescent="0.3">
      <c r="A26" s="4" t="s">
        <v>286</v>
      </c>
      <c r="B26" s="5" t="s">
        <v>37</v>
      </c>
      <c r="C26" s="6">
        <v>45833</v>
      </c>
      <c r="D26" s="7">
        <v>886911</v>
      </c>
      <c r="E26" s="5" t="str">
        <f>_xlfn.XLOOKUP(D26,[1]!Tabela24[Código consultor],[1]!Tabela24[Consultor Venda],0,0,1)</f>
        <v>COM - SOC - KAUAN ARAUJO SILVA</v>
      </c>
      <c r="F26" s="5" t="str">
        <f>_xlfn.XLOOKUP(D26,[1]!Tabela24[Código consultor],[1]!Tabela24[Canal Consultor],0,0,1)</f>
        <v>Pap</v>
      </c>
      <c r="G26" s="5" t="str">
        <f>_xlfn.XLOOKUP(B26,[1]!Tabela1[[Cidades ]],[1]!Tabela1[Regional],0,0,1)</f>
        <v>Jean</v>
      </c>
      <c r="H26" s="8" t="str">
        <f>_xlfn.XLOOKUP(B26,[1]!Tabela1[[Cidades ]],[1]!Tabela1[Gerente],0,0,1)</f>
        <v>Demais coordenadores</v>
      </c>
    </row>
    <row r="27" spans="1:8" x14ac:dyDescent="0.3">
      <c r="A27" s="9" t="s">
        <v>382</v>
      </c>
      <c r="B27" s="10" t="s">
        <v>23</v>
      </c>
      <c r="C27" s="11">
        <v>45833</v>
      </c>
      <c r="D27" s="12">
        <v>876162</v>
      </c>
      <c r="E27" s="5" t="str">
        <f>_xlfn.XLOOKUP(D27,[1]!Tabela24[Código consultor],[1]!Tabela24[Consultor Venda],0,0,1)</f>
        <v>COM - CAN - PAULA VITORIA ELIAS VIEIRA</v>
      </c>
      <c r="F27" s="5" t="str">
        <f>_xlfn.XLOOKUP(D27,[1]!Tabela24[Código consultor],[1]!Tabela24[Canal Consultor],0,0,1)</f>
        <v>Pap</v>
      </c>
      <c r="G27" s="10" t="str">
        <f>_xlfn.XLOOKUP(B27,[1]!Tabela1[[Cidades ]],[1]!Tabela1[Regional],0,0,1)</f>
        <v>Magno</v>
      </c>
      <c r="H27" s="13" t="str">
        <f>_xlfn.XLOOKUP(B27,[1]!Tabela1[[Cidades ]],[1]!Tabela1[Gerente],0,0,1)</f>
        <v>Demais coordenadores</v>
      </c>
    </row>
    <row r="28" spans="1:8" x14ac:dyDescent="0.3">
      <c r="A28" s="4" t="s">
        <v>290</v>
      </c>
      <c r="B28" s="5" t="s">
        <v>50</v>
      </c>
      <c r="C28" s="6">
        <v>45833</v>
      </c>
      <c r="D28" s="7">
        <v>878685</v>
      </c>
      <c r="E28" s="5" t="str">
        <f>_xlfn.XLOOKUP(D28,[1]!Tabela24[Código consultor],[1]!Tabela24[Consultor Venda],0,0,1)</f>
        <v>COM - FNS - LETICIA LEONOR LINHARES</v>
      </c>
      <c r="F28" s="5" t="str">
        <f>_xlfn.XLOOKUP(D28,[1]!Tabela24[Código consultor],[1]!Tabela24[Canal Consultor],0,0,1)</f>
        <v>INTERNO</v>
      </c>
      <c r="G28" s="5" t="str">
        <f>_xlfn.XLOOKUP(B28,[1]!Tabela1[[Cidades ]],[1]!Tabela1[Regional],0,0,1)</f>
        <v>Marcio</v>
      </c>
      <c r="H28" s="8" t="str">
        <f>_xlfn.XLOOKUP(B28,[1]!Tabela1[[Cidades ]],[1]!Tabela1[Gerente],0,0,1)</f>
        <v>Demais coordenadores</v>
      </c>
    </row>
    <row r="29" spans="1:8" x14ac:dyDescent="0.3">
      <c r="A29" s="9" t="s">
        <v>296</v>
      </c>
      <c r="B29" s="10" t="s">
        <v>28</v>
      </c>
      <c r="C29" s="11">
        <v>45833</v>
      </c>
      <c r="D29" s="12">
        <v>547683</v>
      </c>
      <c r="E29" s="5" t="str">
        <f>_xlfn.XLOOKUP(D29,[1]!Tabela24[Código consultor],[1]!Tabela24[Consultor Venda],0,0,1)</f>
        <v>COM - LJO - JOAO PAULO DA SILVA SANTOS</v>
      </c>
      <c r="F29" s="5" t="str">
        <f>_xlfn.XLOOKUP(D29,[1]!Tabela24[Código consultor],[1]!Tabela24[Canal Consultor],0,0,1)</f>
        <v>Pap</v>
      </c>
      <c r="G29" s="10" t="str">
        <f>_xlfn.XLOOKUP(B29,[1]!Tabela1[[Cidades ]],[1]!Tabela1[Regional],0,0,1)</f>
        <v>Magno</v>
      </c>
      <c r="H29" s="13" t="str">
        <f>_xlfn.XLOOKUP(B29,[1]!Tabela1[[Cidades ]],[1]!Tabela1[Gerente],0,0,1)</f>
        <v>Demais coordenadores</v>
      </c>
    </row>
    <row r="30" spans="1:8" x14ac:dyDescent="0.3">
      <c r="A30" s="4" t="s">
        <v>300</v>
      </c>
      <c r="B30" s="5" t="s">
        <v>30</v>
      </c>
      <c r="C30" s="6">
        <v>45833</v>
      </c>
      <c r="D30" s="7">
        <v>867522</v>
      </c>
      <c r="E30" s="5" t="str">
        <f>_xlfn.XLOOKUP(D30,[1]!Tabela24[Código consultor],[1]!Tabela24[Consultor Venda],0,0,1)</f>
        <v>COM - IGA - SANDRO CESAR MARTINS</v>
      </c>
      <c r="F30" s="5" t="str">
        <f>_xlfn.XLOOKUP(D30,[1]!Tabela24[Código consultor],[1]!Tabela24[Canal Consultor],0,0,1)</f>
        <v>Pap</v>
      </c>
      <c r="G30" s="5" t="str">
        <f>_xlfn.XLOOKUP(B30,[1]!Tabela1[[Cidades ]],[1]!Tabela1[Regional],0,0,1)</f>
        <v>Jean</v>
      </c>
      <c r="H30" s="8" t="str">
        <f>_xlfn.XLOOKUP(B30,[1]!Tabela1[[Cidades ]],[1]!Tabela1[Gerente],0,0,1)</f>
        <v>Demais coordenadores</v>
      </c>
    </row>
    <row r="31" spans="1:8" x14ac:dyDescent="0.3">
      <c r="A31" s="9" t="s">
        <v>153</v>
      </c>
      <c r="B31" s="10" t="s">
        <v>22</v>
      </c>
      <c r="C31" s="11">
        <v>45833</v>
      </c>
      <c r="D31" s="12">
        <v>683349</v>
      </c>
      <c r="E31" s="5" t="str">
        <f>_xlfn.XLOOKUP(D31,[1]!Tabela24[Código consultor],[1]!Tabela24[Consultor Venda],0,0,1)</f>
        <v>DIG - CCO - EVELLIN SALOA MAIA DA CONCEICAO</v>
      </c>
      <c r="F31" s="5" t="str">
        <f>_xlfn.XLOOKUP(D31,[1]!Tabela24[Código consultor],[1]!Tabela24[Canal Consultor],0,0,1)</f>
        <v>DIGITAL</v>
      </c>
      <c r="G31" s="10" t="str">
        <f>_xlfn.XLOOKUP(B31,[1]!Tabela1[[Cidades ]],[1]!Tabela1[Regional],0,0,1)</f>
        <v>Magno</v>
      </c>
      <c r="H31" s="13" t="str">
        <f>_xlfn.XLOOKUP(B31,[1]!Tabela1[[Cidades ]],[1]!Tabela1[Gerente],0,0,1)</f>
        <v>Demais coordenadores</v>
      </c>
    </row>
    <row r="32" spans="1:8" x14ac:dyDescent="0.3">
      <c r="A32" s="4" t="s">
        <v>252</v>
      </c>
      <c r="B32" s="5" t="s">
        <v>38</v>
      </c>
      <c r="C32" s="6">
        <v>45833</v>
      </c>
      <c r="D32" s="7">
        <v>559912</v>
      </c>
      <c r="E32" s="5" t="str">
        <f>_xlfn.XLOOKUP(D32,[1]!Tabela24[Código consultor],[1]!Tabela24[Consultor Venda],0,0,1)</f>
        <v>COM - TEB - DEVAIR DE JESUS TALEVI</v>
      </c>
      <c r="F32" s="5" t="str">
        <f>_xlfn.XLOOKUP(D32,[1]!Tabela24[Código consultor],[1]!Tabela24[Canal Consultor],0,0,1)</f>
        <v>Pap</v>
      </c>
      <c r="G32" s="5" t="str">
        <f>_xlfn.XLOOKUP(B32,[1]!Tabela1[[Cidades ]],[1]!Tabela1[Regional],0,0,1)</f>
        <v>Jean</v>
      </c>
      <c r="H32" s="8" t="str">
        <f>_xlfn.XLOOKUP(B32,[1]!Tabela1[[Cidades ]],[1]!Tabela1[Gerente],0,0,1)</f>
        <v>Demais coordenadores</v>
      </c>
    </row>
    <row r="33" spans="1:8" x14ac:dyDescent="0.3">
      <c r="A33" s="9" t="s">
        <v>313</v>
      </c>
      <c r="B33" s="10" t="s">
        <v>64</v>
      </c>
      <c r="C33" s="11">
        <v>45833</v>
      </c>
      <c r="D33" s="12">
        <v>729970</v>
      </c>
      <c r="E33" s="5" t="str">
        <f>_xlfn.XLOOKUP(D33,[1]!Tabela24[Código consultor],[1]!Tabela24[Consultor Venda],0,0,1)</f>
        <v>COM - UMR - VINICIUS HENRIQUE HUSS DA MOTA</v>
      </c>
      <c r="F33" s="5" t="str">
        <f>_xlfn.XLOOKUP(D33,[1]!Tabela24[Código consultor],[1]!Tabela24[Canal Consultor],0,0,1)</f>
        <v>INTERNO</v>
      </c>
      <c r="G33" s="10" t="str">
        <f>_xlfn.XLOOKUP(B33,[1]!Tabela1[[Cidades ]],[1]!Tabela1[Regional],0,0,1)</f>
        <v>Jean</v>
      </c>
      <c r="H33" s="13" t="str">
        <f>_xlfn.XLOOKUP(B33,[1]!Tabela1[[Cidades ]],[1]!Tabela1[Gerente],0,0,1)</f>
        <v>Demais coordenadores</v>
      </c>
    </row>
    <row r="34" spans="1:8" x14ac:dyDescent="0.3">
      <c r="A34" s="4" t="s">
        <v>318</v>
      </c>
      <c r="B34" s="5" t="s">
        <v>38</v>
      </c>
      <c r="C34" s="6">
        <v>45833</v>
      </c>
      <c r="D34" s="7">
        <v>788656</v>
      </c>
      <c r="E34" s="5" t="str">
        <f>_xlfn.XLOOKUP(D34,[1]!Tabela24[Código consultor],[1]!Tabela24[Consultor Venda],0,0,1)</f>
        <v>PAR - STB - PAP - JOY TELECOM - GABRIELA ALVES DE GODOY</v>
      </c>
      <c r="F34" s="5" t="str">
        <f>_xlfn.XLOOKUP(D34,[1]!Tabela24[Código consultor],[1]!Tabela24[Canal Consultor],0,0,1)</f>
        <v>PAR_DIG</v>
      </c>
      <c r="G34" s="5" t="str">
        <f>_xlfn.XLOOKUP(B34,[1]!Tabela1[[Cidades ]],[1]!Tabela1[Regional],0,0,1)</f>
        <v>Jean</v>
      </c>
      <c r="H34" s="8" t="str">
        <f>_xlfn.XLOOKUP(B34,[1]!Tabela1[[Cidades ]],[1]!Tabela1[Gerente],0,0,1)</f>
        <v>Demais coordenadores</v>
      </c>
    </row>
    <row r="35" spans="1:8" x14ac:dyDescent="0.3">
      <c r="A35" s="9" t="s">
        <v>319</v>
      </c>
      <c r="B35" s="10" t="s">
        <v>28</v>
      </c>
      <c r="C35" s="11">
        <v>45833</v>
      </c>
      <c r="D35" s="12">
        <v>237623</v>
      </c>
      <c r="E35" s="5" t="str">
        <f>_xlfn.XLOOKUP(D35,[1]!Tabela24[Código consultor],[1]!Tabela24[Consultor Venda],0,0,1)</f>
        <v>COM - LJO - VITORIA CAROLINE BALDEZ ROSSALES</v>
      </c>
      <c r="F35" s="5" t="str">
        <f>_xlfn.XLOOKUP(D35,[1]!Tabela24[Código consultor],[1]!Tabela24[Canal Consultor],0,0,1)</f>
        <v>Pap</v>
      </c>
      <c r="G35" s="10" t="str">
        <f>_xlfn.XLOOKUP(B35,[1]!Tabela1[[Cidades ]],[1]!Tabela1[Regional],0,0,1)</f>
        <v>Magno</v>
      </c>
      <c r="H35" s="13" t="str">
        <f>_xlfn.XLOOKUP(B35,[1]!Tabela1[[Cidades ]],[1]!Tabela1[Gerente],0,0,1)</f>
        <v>Demais coordenadores</v>
      </c>
    </row>
    <row r="36" spans="1:8" x14ac:dyDescent="0.3">
      <c r="A36" s="4" t="s">
        <v>1583</v>
      </c>
      <c r="B36" s="5" t="s">
        <v>47</v>
      </c>
      <c r="C36" s="6">
        <v>45833</v>
      </c>
      <c r="D36" s="7">
        <v>788656</v>
      </c>
      <c r="E36" s="5" t="str">
        <f>_xlfn.XLOOKUP(D36,[1]!Tabela24[Código consultor],[1]!Tabela24[Consultor Venda],0,0,1)</f>
        <v>PAR - STB - PAP - JOY TELECOM - GABRIELA ALVES DE GODOY</v>
      </c>
      <c r="F36" s="5" t="str">
        <f>_xlfn.XLOOKUP(D36,[1]!Tabela24[Código consultor],[1]!Tabela24[Canal Consultor],0,0,1)</f>
        <v>PAR_DIG</v>
      </c>
      <c r="G36" s="5" t="str">
        <f>_xlfn.XLOOKUP(B36,[1]!Tabela1[[Cidades ]],[1]!Tabela1[Regional],0,0,1)</f>
        <v>Magno</v>
      </c>
      <c r="H36" s="8" t="str">
        <f>_xlfn.XLOOKUP(B36,[1]!Tabela1[[Cidades ]],[1]!Tabela1[Gerente],0,0,1)</f>
        <v>Demais coordenadores</v>
      </c>
    </row>
    <row r="37" spans="1:8" x14ac:dyDescent="0.3">
      <c r="A37" s="9" t="s">
        <v>326</v>
      </c>
      <c r="B37" s="10" t="s">
        <v>22</v>
      </c>
      <c r="C37" s="11">
        <v>45833</v>
      </c>
      <c r="D37" s="12">
        <v>788656</v>
      </c>
      <c r="E37" s="5" t="str">
        <f>_xlfn.XLOOKUP(D37,[1]!Tabela24[Código consultor],[1]!Tabela24[Consultor Venda],0,0,1)</f>
        <v>PAR - STB - PAP - JOY TELECOM - GABRIELA ALVES DE GODOY</v>
      </c>
      <c r="F37" s="5" t="str">
        <f>_xlfn.XLOOKUP(D37,[1]!Tabela24[Código consultor],[1]!Tabela24[Canal Consultor],0,0,1)</f>
        <v>PAR_DIG</v>
      </c>
      <c r="G37" s="10" t="str">
        <f>_xlfn.XLOOKUP(B37,[1]!Tabela1[[Cidades ]],[1]!Tabela1[Regional],0,0,1)</f>
        <v>Magno</v>
      </c>
      <c r="H37" s="13" t="str">
        <f>_xlfn.XLOOKUP(B37,[1]!Tabela1[[Cidades ]],[1]!Tabela1[Gerente],0,0,1)</f>
        <v>Demais coordenadores</v>
      </c>
    </row>
    <row r="38" spans="1:8" x14ac:dyDescent="0.3">
      <c r="A38" s="4" t="s">
        <v>332</v>
      </c>
      <c r="B38" s="5" t="s">
        <v>25</v>
      </c>
      <c r="C38" s="6">
        <v>45833</v>
      </c>
      <c r="D38" s="7">
        <v>738880</v>
      </c>
      <c r="E38" s="5" t="str">
        <f>_xlfn.XLOOKUP(D38,[1]!Tabela24[Código consultor],[1]!Tabela24[Consultor Venda],0,0,1)</f>
        <v>PAR - PAP - MUNDIALE - ANA LUIZA COUTO MATIAS</v>
      </c>
      <c r="F38" s="5" t="str">
        <f>_xlfn.XLOOKUP(D38,[1]!Tabela24[Código consultor],[1]!Tabela24[Canal Consultor],0,0,1)</f>
        <v>PAR_DIG</v>
      </c>
      <c r="G38" s="5" t="str">
        <f>_xlfn.XLOOKUP(B38,[1]!Tabela1[[Cidades ]],[1]!Tabela1[Regional],0,0,1)</f>
        <v>Maycon</v>
      </c>
      <c r="H38" s="8" t="str">
        <f>_xlfn.XLOOKUP(B38,[1]!Tabela1[[Cidades ]],[1]!Tabela1[Gerente],0,0,1)</f>
        <v>Demais coordenadores</v>
      </c>
    </row>
    <row r="39" spans="1:8" x14ac:dyDescent="0.3">
      <c r="A39" s="9" t="s">
        <v>333</v>
      </c>
      <c r="B39" s="10" t="s">
        <v>65</v>
      </c>
      <c r="C39" s="11">
        <v>45833</v>
      </c>
      <c r="D39" s="12">
        <v>862715</v>
      </c>
      <c r="E39" s="5" t="str">
        <f>_xlfn.XLOOKUP(D39,[1]!Tabela24[Código consultor],[1]!Tabela24[Consultor Venda],0,0,1)</f>
        <v>COM - CUA - NICOLE FLORIANI ALVES</v>
      </c>
      <c r="F39" s="5" t="str">
        <f>_xlfn.XLOOKUP(D39,[1]!Tabela24[Código consultor],[1]!Tabela24[Canal Consultor],0,0,1)</f>
        <v>Pap</v>
      </c>
      <c r="G39" s="10" t="str">
        <f>_xlfn.XLOOKUP(B39,[1]!Tabela1[[Cidades ]],[1]!Tabela1[Regional],0,0,1)</f>
        <v>Marcio</v>
      </c>
      <c r="H39" s="13" t="str">
        <f>_xlfn.XLOOKUP(B39,[1]!Tabela1[[Cidades ]],[1]!Tabela1[Gerente],0,0,1)</f>
        <v>Demais coordenadores</v>
      </c>
    </row>
    <row r="40" spans="1:8" x14ac:dyDescent="0.3">
      <c r="A40" s="4" t="s">
        <v>334</v>
      </c>
      <c r="B40" s="5" t="s">
        <v>74</v>
      </c>
      <c r="C40" s="6">
        <v>45833</v>
      </c>
      <c r="D40" s="7">
        <v>687168</v>
      </c>
      <c r="E40" s="5" t="str">
        <f>_xlfn.XLOOKUP(D40,[1]!Tabela24[Código consultor],[1]!Tabela24[Consultor Venda],0,0,1)</f>
        <v>COM - SSL - PAMELA BUGAY KUPZIK</v>
      </c>
      <c r="F40" s="5" t="str">
        <f>_xlfn.XLOOKUP(D40,[1]!Tabela24[Código consultor],[1]!Tabela24[Canal Consultor],0,0,1)</f>
        <v>INTERNO</v>
      </c>
      <c r="G40" s="5" t="str">
        <f>_xlfn.XLOOKUP(B40,[1]!Tabela1[[Cidades ]],[1]!Tabela1[Regional],0,0,1)</f>
        <v>Jean</v>
      </c>
      <c r="H40" s="8" t="str">
        <f>_xlfn.XLOOKUP(B40,[1]!Tabela1[[Cidades ]],[1]!Tabela1[Gerente],0,0,1)</f>
        <v>Demais coordenadores</v>
      </c>
    </row>
    <row r="41" spans="1:8" x14ac:dyDescent="0.3">
      <c r="A41" s="9" t="s">
        <v>285</v>
      </c>
      <c r="B41" s="10" t="s">
        <v>22</v>
      </c>
      <c r="C41" s="11">
        <v>45833</v>
      </c>
      <c r="D41" s="12">
        <v>165769</v>
      </c>
      <c r="E41" s="5" t="str">
        <f>_xlfn.XLOOKUP(D41,[1]!Tabela24[Código consultor],[1]!Tabela24[Consultor Venda],0,0,1)</f>
        <v>PAR - PAP - GTI - THALIA SP - THALIA DA SILVA PEREIRA</v>
      </c>
      <c r="F41" s="5" t="str">
        <f>_xlfn.XLOOKUP(D41,[1]!Tabela24[Código consultor],[1]!Tabela24[Canal Consultor],0,0,1)</f>
        <v>PAR</v>
      </c>
      <c r="G41" s="10" t="str">
        <f>_xlfn.XLOOKUP(B41,[1]!Tabela1[[Cidades ]],[1]!Tabela1[Regional],0,0,1)</f>
        <v>Magno</v>
      </c>
      <c r="H41" s="13" t="str">
        <f>_xlfn.XLOOKUP(B41,[1]!Tabela1[[Cidades ]],[1]!Tabela1[Gerente],0,0,1)</f>
        <v>Demais coordenadores</v>
      </c>
    </row>
    <row r="42" spans="1:8" x14ac:dyDescent="0.3">
      <c r="A42" s="4" t="s">
        <v>171</v>
      </c>
      <c r="B42" s="5" t="s">
        <v>44</v>
      </c>
      <c r="C42" s="6">
        <v>45833</v>
      </c>
      <c r="D42" s="7">
        <v>636843</v>
      </c>
      <c r="E42" s="5" t="str">
        <f>_xlfn.XLOOKUP(D42,[1]!Tabela24[Código consultor],[1]!Tabela24[Consultor Venda],0,0,1)</f>
        <v>COM - IRI - MICHEL DOUGLAS PERUCELI</v>
      </c>
      <c r="F42" s="5" t="str">
        <f>_xlfn.XLOOKUP(D42,[1]!Tabela24[Código consultor],[1]!Tabela24[Canal Consultor],0,0,1)</f>
        <v>Pap</v>
      </c>
      <c r="G42" s="5" t="str">
        <f>_xlfn.XLOOKUP(B42,[1]!Tabela1[[Cidades ]],[1]!Tabela1[Regional],0,0,1)</f>
        <v>Jean</v>
      </c>
      <c r="H42" s="8" t="str">
        <f>_xlfn.XLOOKUP(B42,[1]!Tabela1[[Cidades ]],[1]!Tabela1[Gerente],0,0,1)</f>
        <v>Demais coordenadores</v>
      </c>
    </row>
    <row r="43" spans="1:8" x14ac:dyDescent="0.3">
      <c r="A43" s="9" t="s">
        <v>340</v>
      </c>
      <c r="B43" s="10" t="s">
        <v>28</v>
      </c>
      <c r="C43" s="11">
        <v>45833</v>
      </c>
      <c r="D43" s="12">
        <v>547683</v>
      </c>
      <c r="E43" s="5" t="str">
        <f>_xlfn.XLOOKUP(D43,[1]!Tabela24[Código consultor],[1]!Tabela24[Consultor Venda],0,0,1)</f>
        <v>COM - LJO - JOAO PAULO DA SILVA SANTOS</v>
      </c>
      <c r="F43" s="5" t="str">
        <f>_xlfn.XLOOKUP(D43,[1]!Tabela24[Código consultor],[1]!Tabela24[Canal Consultor],0,0,1)</f>
        <v>Pap</v>
      </c>
      <c r="G43" s="10" t="str">
        <f>_xlfn.XLOOKUP(B43,[1]!Tabela1[[Cidades ]],[1]!Tabela1[Regional],0,0,1)</f>
        <v>Magno</v>
      </c>
      <c r="H43" s="13" t="str">
        <f>_xlfn.XLOOKUP(B43,[1]!Tabela1[[Cidades ]],[1]!Tabela1[Gerente],0,0,1)</f>
        <v>Demais coordenadores</v>
      </c>
    </row>
    <row r="44" spans="1:8" x14ac:dyDescent="0.3">
      <c r="A44" s="4" t="s">
        <v>344</v>
      </c>
      <c r="B44" s="5" t="s">
        <v>33</v>
      </c>
      <c r="C44" s="6">
        <v>45833</v>
      </c>
      <c r="D44" s="7">
        <v>741461</v>
      </c>
      <c r="E44" s="5" t="str">
        <f>_xlfn.XLOOKUP(D44,[1]!Tabela24[Código consultor],[1]!Tabela24[Consultor Venda],0,0,1)</f>
        <v>PAR - PAP - MVH - DIGITAL SUL SOLUCOES - MARIA ISABEL LEVY</v>
      </c>
      <c r="F44" s="5" t="str">
        <f>_xlfn.XLOOKUP(D44,[1]!Tabela24[Código consultor],[1]!Tabela24[Canal Consultor],0,0,1)</f>
        <v>PAR_DIG</v>
      </c>
      <c r="G44" s="5" t="str">
        <f>_xlfn.XLOOKUP(B44,[1]!Tabela1[[Cidades ]],[1]!Tabela1[Regional],0,0,1)</f>
        <v>Maycon</v>
      </c>
      <c r="H44" s="8" t="str">
        <f>_xlfn.XLOOKUP(B44,[1]!Tabela1[[Cidades ]],[1]!Tabela1[Gerente],0,0,1)</f>
        <v>Demais coordenadores</v>
      </c>
    </row>
    <row r="45" spans="1:8" x14ac:dyDescent="0.3">
      <c r="A45" s="9" t="s">
        <v>346</v>
      </c>
      <c r="B45" s="10" t="s">
        <v>42</v>
      </c>
      <c r="C45" s="11">
        <v>45833</v>
      </c>
      <c r="D45" s="12">
        <v>794227</v>
      </c>
      <c r="E45" s="5" t="str">
        <f>_xlfn.XLOOKUP(D45,[1]!Tabela24[Código consultor],[1]!Tabela24[Consultor Venda],0,0,1)</f>
        <v>PAR - PAP - TECH PERFORMANCE - Dario de Oliveira</v>
      </c>
      <c r="F45" s="5" t="str">
        <f>_xlfn.XLOOKUP(D45,[1]!Tabela24[Código consultor],[1]!Tabela24[Canal Consultor],0,0,1)</f>
        <v>Par</v>
      </c>
      <c r="G45" s="10" t="str">
        <f>_xlfn.XLOOKUP(B45,[1]!Tabela1[[Cidades ]],[1]!Tabela1[Regional],0,0,1)</f>
        <v>Maycon</v>
      </c>
      <c r="H45" s="13" t="str">
        <f>_xlfn.XLOOKUP(B45,[1]!Tabela1[[Cidades ]],[1]!Tabela1[Gerente],0,0,1)</f>
        <v>Demais coordenadores</v>
      </c>
    </row>
    <row r="46" spans="1:8" x14ac:dyDescent="0.3">
      <c r="A46" s="4" t="s">
        <v>351</v>
      </c>
      <c r="B46" s="5" t="s">
        <v>22</v>
      </c>
      <c r="C46" s="6">
        <v>45833</v>
      </c>
      <c r="D46" s="7">
        <v>884801</v>
      </c>
      <c r="E46" s="5" t="str">
        <f>_xlfn.XLOOKUP(D46,[1]!Tabela24[Código consultor],[1]!Tabela24[Consultor Venda],0,0,1)</f>
        <v>COM - SCR - JOAO UALISON DOS SANTOS SIMIANER</v>
      </c>
      <c r="F46" s="5" t="str">
        <f>_xlfn.XLOOKUP(D46,[1]!Tabela24[Código consultor],[1]!Tabela24[Canal Consultor],0,0,1)</f>
        <v>INTERNO</v>
      </c>
      <c r="G46" s="5" t="str">
        <f>_xlfn.XLOOKUP(B46,[1]!Tabela1[[Cidades ]],[1]!Tabela1[Regional],0,0,1)</f>
        <v>Magno</v>
      </c>
      <c r="H46" s="8" t="str">
        <f>_xlfn.XLOOKUP(B46,[1]!Tabela1[[Cidades ]],[1]!Tabela1[Gerente],0,0,1)</f>
        <v>Demais coordenadores</v>
      </c>
    </row>
    <row r="47" spans="1:8" x14ac:dyDescent="0.3">
      <c r="A47" s="9" t="s">
        <v>353</v>
      </c>
      <c r="B47" s="10" t="s">
        <v>62</v>
      </c>
      <c r="C47" s="11">
        <v>45833</v>
      </c>
      <c r="D47" s="12">
        <v>738880</v>
      </c>
      <c r="E47" s="5" t="str">
        <f>_xlfn.XLOOKUP(D47,[1]!Tabela24[Código consultor],[1]!Tabela24[Consultor Venda],0,0,1)</f>
        <v>PAR - PAP - MUNDIALE - ANA LUIZA COUTO MATIAS</v>
      </c>
      <c r="F47" s="5" t="str">
        <f>_xlfn.XLOOKUP(D47,[1]!Tabela24[Código consultor],[1]!Tabela24[Canal Consultor],0,0,1)</f>
        <v>PAR_DIG</v>
      </c>
      <c r="G47" s="10" t="str">
        <f>_xlfn.XLOOKUP(B47,[1]!Tabela1[[Cidades ]],[1]!Tabela1[Regional],0,0,1)</f>
        <v>Adilson</v>
      </c>
      <c r="H47" s="13" t="str">
        <f>_xlfn.XLOOKUP(B47,[1]!Tabela1[[Cidades ]],[1]!Tabela1[Gerente],0,0,1)</f>
        <v>Demais coordenadores</v>
      </c>
    </row>
    <row r="48" spans="1:8" x14ac:dyDescent="0.3">
      <c r="A48" s="4" t="s">
        <v>360</v>
      </c>
      <c r="B48" s="5" t="s">
        <v>38</v>
      </c>
      <c r="C48" s="6">
        <v>45833</v>
      </c>
      <c r="D48" s="7">
        <v>866566</v>
      </c>
      <c r="E48" s="5" t="str">
        <f>_xlfn.XLOOKUP(D48,[1]!Tabela24[Código consultor],[1]!Tabela24[Consultor Venda],0,0,1)</f>
        <v>PAR - PAP - PGO - LIVIA FLAVIA NUNES LOPES SANTOS</v>
      </c>
      <c r="F48" s="5" t="str">
        <f>_xlfn.XLOOKUP(D48,[1]!Tabela24[Código consultor],[1]!Tabela24[Canal Consultor],0,0,1)</f>
        <v>PAR</v>
      </c>
      <c r="G48" s="5" t="str">
        <f>_xlfn.XLOOKUP(B48,[1]!Tabela1[[Cidades ]],[1]!Tabela1[Regional],0,0,1)</f>
        <v>Jean</v>
      </c>
      <c r="H48" s="8" t="str">
        <f>_xlfn.XLOOKUP(B48,[1]!Tabela1[[Cidades ]],[1]!Tabela1[Gerente],0,0,1)</f>
        <v>Demais coordenadores</v>
      </c>
    </row>
    <row r="49" spans="1:8" x14ac:dyDescent="0.3">
      <c r="A49" s="9" t="s">
        <v>361</v>
      </c>
      <c r="B49" s="10" t="s">
        <v>84</v>
      </c>
      <c r="C49" s="11">
        <v>45833</v>
      </c>
      <c r="D49" s="12">
        <v>857108</v>
      </c>
      <c r="E49" s="5" t="str">
        <f>_xlfn.XLOOKUP(D49,[1]!Tabela24[Código consultor],[1]!Tabela24[Consultor Venda],0,0,1)</f>
        <v>COM - GRE - AMANDA CAROLINE PONTES GUIMARAES</v>
      </c>
      <c r="F49" s="5" t="str">
        <f>_xlfn.XLOOKUP(D49,[1]!Tabela24[Código consultor],[1]!Tabela24[Canal Consultor],0,0,1)</f>
        <v>INTERNO</v>
      </c>
      <c r="G49" s="10" t="str">
        <f>_xlfn.XLOOKUP(B49,[1]!Tabela1[[Cidades ]],[1]!Tabela1[Regional],0,0,1)</f>
        <v>Adilson</v>
      </c>
      <c r="H49" s="13" t="str">
        <f>_xlfn.XLOOKUP(B49,[1]!Tabela1[[Cidades ]],[1]!Tabela1[Gerente],0,0,1)</f>
        <v>Demais coordenadores</v>
      </c>
    </row>
    <row r="50" spans="1:8" x14ac:dyDescent="0.3">
      <c r="A50" s="4" t="s">
        <v>362</v>
      </c>
      <c r="B50" s="5" t="s">
        <v>19</v>
      </c>
      <c r="C50" s="6">
        <v>45833</v>
      </c>
      <c r="D50" s="7">
        <v>725067</v>
      </c>
      <c r="E50" s="5" t="str">
        <f>_xlfn.XLOOKUP(D50,[1]!Tabela24[Código consultor],[1]!Tabela24[Consultor Venda],0,0,1)</f>
        <v>COM - CHN - MICHELY SANTOS DOS SANTOS</v>
      </c>
      <c r="F50" s="5" t="str">
        <f>_xlfn.XLOOKUP(D50,[1]!Tabela24[Código consultor],[1]!Tabela24[Canal Consultor],0,0,1)</f>
        <v>Pap</v>
      </c>
      <c r="G50" s="5" t="str">
        <f>_xlfn.XLOOKUP(B50,[1]!Tabela1[[Cidades ]],[1]!Tabela1[Regional],0,0,1)</f>
        <v>Magno</v>
      </c>
      <c r="H50" s="8" t="str">
        <f>_xlfn.XLOOKUP(B50,[1]!Tabela1[[Cidades ]],[1]!Tabela1[Gerente],0,0,1)</f>
        <v>Demais coordenadores</v>
      </c>
    </row>
    <row r="51" spans="1:8" x14ac:dyDescent="0.3">
      <c r="A51" s="9" t="s">
        <v>366</v>
      </c>
      <c r="B51" s="10" t="s">
        <v>59</v>
      </c>
      <c r="C51" s="11">
        <v>45833</v>
      </c>
      <c r="D51" s="12">
        <v>738880</v>
      </c>
      <c r="E51" s="5" t="str">
        <f>_xlfn.XLOOKUP(D51,[1]!Tabela24[Código consultor],[1]!Tabela24[Consultor Venda],0,0,1)</f>
        <v>PAR - PAP - MUNDIALE - ANA LUIZA COUTO MATIAS</v>
      </c>
      <c r="F51" s="5" t="str">
        <f>_xlfn.XLOOKUP(D51,[1]!Tabela24[Código consultor],[1]!Tabela24[Canal Consultor],0,0,1)</f>
        <v>PAR_DIG</v>
      </c>
      <c r="G51" s="10" t="str">
        <f>_xlfn.XLOOKUP(B51,[1]!Tabela1[[Cidades ]],[1]!Tabela1[Regional],0,0,1)</f>
        <v>Adilson</v>
      </c>
      <c r="H51" s="13" t="str">
        <f>_xlfn.XLOOKUP(B51,[1]!Tabela1[[Cidades ]],[1]!Tabela1[Gerente],0,0,1)</f>
        <v>Demais coordenadores</v>
      </c>
    </row>
    <row r="52" spans="1:8" x14ac:dyDescent="0.3">
      <c r="A52" s="4" t="s">
        <v>374</v>
      </c>
      <c r="B52" s="5" t="s">
        <v>68</v>
      </c>
      <c r="C52" s="6">
        <v>45833</v>
      </c>
      <c r="D52" s="7">
        <v>52</v>
      </c>
      <c r="E52" s="5" t="str">
        <f>_xlfn.XLOOKUP(D52,[1]!Tabela24[Código consultor],[1]!Tabela24[Consultor Venda],0,0,1)</f>
        <v>COM - MVH - ELIO LUIZ SCHAFER</v>
      </c>
      <c r="F52" s="5" t="str">
        <f>_xlfn.XLOOKUP(D52,[1]!Tabela24[Código consultor],[1]!Tabela24[Canal Consultor],0,0,1)</f>
        <v>ADM Interno</v>
      </c>
      <c r="G52" s="5" t="str">
        <f>_xlfn.XLOOKUP(B52,[1]!Tabela1[[Cidades ]],[1]!Tabela1[Regional],0,0,1)</f>
        <v>Maycon</v>
      </c>
      <c r="H52" s="8" t="str">
        <f>_xlfn.XLOOKUP(B52,[1]!Tabela1[[Cidades ]],[1]!Tabela1[Gerente],0,0,1)</f>
        <v>Demais coordenadores</v>
      </c>
    </row>
    <row r="53" spans="1:8" x14ac:dyDescent="0.3">
      <c r="A53" s="9" t="s">
        <v>378</v>
      </c>
      <c r="B53" s="10" t="s">
        <v>65</v>
      </c>
      <c r="C53" s="11">
        <v>45833</v>
      </c>
      <c r="D53" s="12">
        <v>683063</v>
      </c>
      <c r="E53" s="5" t="str">
        <f>_xlfn.XLOOKUP(D53,[1]!Tabela24[Código consultor],[1]!Tabela24[Consultor Venda],0,0,1)</f>
        <v>COM - CUA - BRUNO MANOEL DO NASCIMENTO</v>
      </c>
      <c r="F53" s="5" t="str">
        <f>_xlfn.XLOOKUP(D53,[1]!Tabela24[Código consultor],[1]!Tabela24[Canal Consultor],0,0,1)</f>
        <v>Pap</v>
      </c>
      <c r="G53" s="10" t="str">
        <f>_xlfn.XLOOKUP(B53,[1]!Tabela1[[Cidades ]],[1]!Tabela1[Regional],0,0,1)</f>
        <v>Marcio</v>
      </c>
      <c r="H53" s="13" t="str">
        <f>_xlfn.XLOOKUP(B53,[1]!Tabela1[[Cidades ]],[1]!Tabela1[Gerente],0,0,1)</f>
        <v>Demais coordenadores</v>
      </c>
    </row>
    <row r="54" spans="1:8" x14ac:dyDescent="0.3">
      <c r="A54" s="4" t="s">
        <v>380</v>
      </c>
      <c r="B54" s="5" t="s">
        <v>35</v>
      </c>
      <c r="C54" s="6">
        <v>45833</v>
      </c>
      <c r="D54" s="7">
        <v>197832</v>
      </c>
      <c r="E54" s="5" t="str">
        <f>_xlfn.XLOOKUP(D54,[1]!Tabela24[Código consultor],[1]!Tabela24[Consultor Venda],0,0,1)</f>
        <v>DIG - CCO - RAIANE BERGAMIN</v>
      </c>
      <c r="F54" s="5" t="str">
        <f>_xlfn.XLOOKUP(D54,[1]!Tabela24[Código consultor],[1]!Tabela24[Canal Consultor],0,0,1)</f>
        <v>DIGITAL</v>
      </c>
      <c r="G54" s="5" t="str">
        <f>_xlfn.XLOOKUP(B54,[1]!Tabela1[[Cidades ]],[1]!Tabela1[Regional],0,0,1)</f>
        <v>Magno</v>
      </c>
      <c r="H54" s="8" t="str">
        <f>_xlfn.XLOOKUP(B54,[1]!Tabela1[[Cidades ]],[1]!Tabela1[Gerente],0,0,1)</f>
        <v>Demais coordenadores</v>
      </c>
    </row>
    <row r="55" spans="1:8" x14ac:dyDescent="0.3">
      <c r="A55" s="9" t="s">
        <v>384</v>
      </c>
      <c r="B55" s="10" t="s">
        <v>12</v>
      </c>
      <c r="C55" s="11">
        <v>45833</v>
      </c>
      <c r="D55" s="12">
        <v>866566</v>
      </c>
      <c r="E55" s="5" t="str">
        <f>_xlfn.XLOOKUP(D55,[1]!Tabela24[Código consultor],[1]!Tabela24[Consultor Venda],0,0,1)</f>
        <v>PAR - PAP - PGO - LIVIA FLAVIA NUNES LOPES SANTOS</v>
      </c>
      <c r="F55" s="5" t="str">
        <f>_xlfn.XLOOKUP(D55,[1]!Tabela24[Código consultor],[1]!Tabela24[Canal Consultor],0,0,1)</f>
        <v>PAR</v>
      </c>
      <c r="G55" s="10" t="str">
        <f>_xlfn.XLOOKUP(B55,[1]!Tabela1[[Cidades ]],[1]!Tabela1[Regional],0,0,1)</f>
        <v>Jean</v>
      </c>
      <c r="H55" s="13" t="str">
        <f>_xlfn.XLOOKUP(B55,[1]!Tabela1[[Cidades ]],[1]!Tabela1[Gerente],0,0,1)</f>
        <v>Demais coordenadores</v>
      </c>
    </row>
    <row r="56" spans="1:8" x14ac:dyDescent="0.3">
      <c r="A56" s="4" t="s">
        <v>385</v>
      </c>
      <c r="B56" s="5" t="s">
        <v>31</v>
      </c>
      <c r="C56" s="6">
        <v>45833</v>
      </c>
      <c r="D56" s="7">
        <v>683349</v>
      </c>
      <c r="E56" s="5" t="str">
        <f>_xlfn.XLOOKUP(D56,[1]!Tabela24[Código consultor],[1]!Tabela24[Consultor Venda],0,0,1)</f>
        <v>DIG - CCO - EVELLIN SALOA MAIA DA CONCEICAO</v>
      </c>
      <c r="F56" s="5" t="str">
        <f>_xlfn.XLOOKUP(D56,[1]!Tabela24[Código consultor],[1]!Tabela24[Canal Consultor],0,0,1)</f>
        <v>DIGITAL</v>
      </c>
      <c r="G56" s="5" t="str">
        <f>_xlfn.XLOOKUP(B56,[1]!Tabela1[[Cidades ]],[1]!Tabela1[Regional],0,0,1)</f>
        <v>Maycon</v>
      </c>
      <c r="H56" s="8" t="str">
        <f>_xlfn.XLOOKUP(B56,[1]!Tabela1[[Cidades ]],[1]!Tabela1[Gerente],0,0,1)</f>
        <v>Demais coordenadores</v>
      </c>
    </row>
    <row r="57" spans="1:8" x14ac:dyDescent="0.3">
      <c r="A57" s="9" t="s">
        <v>161</v>
      </c>
      <c r="B57" s="10" t="s">
        <v>31</v>
      </c>
      <c r="C57" s="11">
        <v>45833</v>
      </c>
      <c r="D57" s="12">
        <v>794227</v>
      </c>
      <c r="E57" s="5" t="str">
        <f>_xlfn.XLOOKUP(D57,[1]!Tabela24[Código consultor],[1]!Tabela24[Consultor Venda],0,0,1)</f>
        <v>PAR - PAP - TECH PERFORMANCE - Dario de Oliveira</v>
      </c>
      <c r="F57" s="5" t="str">
        <f>_xlfn.XLOOKUP(D57,[1]!Tabela24[Código consultor],[1]!Tabela24[Canal Consultor],0,0,1)</f>
        <v>Par</v>
      </c>
      <c r="G57" s="10" t="str">
        <f>_xlfn.XLOOKUP(B57,[1]!Tabela1[[Cidades ]],[1]!Tabela1[Regional],0,0,1)</f>
        <v>Maycon</v>
      </c>
      <c r="H57" s="13" t="str">
        <f>_xlfn.XLOOKUP(B57,[1]!Tabela1[[Cidades ]],[1]!Tabela1[Gerente],0,0,1)</f>
        <v>Demais coordenadores</v>
      </c>
    </row>
    <row r="58" spans="1:8" x14ac:dyDescent="0.3">
      <c r="A58" s="4" t="s">
        <v>386</v>
      </c>
      <c r="B58" s="5" t="s">
        <v>31</v>
      </c>
      <c r="C58" s="6">
        <v>45833</v>
      </c>
      <c r="D58" s="7">
        <v>600710</v>
      </c>
      <c r="E58" s="5" t="str">
        <f>_xlfn.XLOOKUP(D58,[1]!Tabela24[Código consultor],[1]!Tabela24[Consultor Venda],0,0,1)</f>
        <v>DIG - CCO - BRUNA BALBINOTTI</v>
      </c>
      <c r="F58" s="5" t="str">
        <f>_xlfn.XLOOKUP(D58,[1]!Tabela24[Código consultor],[1]!Tabela24[Canal Consultor],0,0,1)</f>
        <v>DIGITAL</v>
      </c>
      <c r="G58" s="5" t="str">
        <f>_xlfn.XLOOKUP(B58,[1]!Tabela1[[Cidades ]],[1]!Tabela1[Regional],0,0,1)</f>
        <v>Maycon</v>
      </c>
      <c r="H58" s="8" t="str">
        <f>_xlfn.XLOOKUP(B58,[1]!Tabela1[[Cidades ]],[1]!Tabela1[Gerente],0,0,1)</f>
        <v>Demais coordenadores</v>
      </c>
    </row>
    <row r="59" spans="1:8" x14ac:dyDescent="0.3">
      <c r="A59" s="9" t="s">
        <v>287</v>
      </c>
      <c r="B59" s="10" t="s">
        <v>22</v>
      </c>
      <c r="C59" s="11">
        <v>45833</v>
      </c>
      <c r="D59" s="12">
        <v>694166</v>
      </c>
      <c r="E59" s="5" t="str">
        <f>_xlfn.XLOOKUP(D59,[1]!Tabela24[Código consultor],[1]!Tabela24[Consultor Venda],0,0,1)</f>
        <v>DIG - CCO - CARINE CORREA SOARES</v>
      </c>
      <c r="F59" s="5" t="str">
        <f>_xlfn.XLOOKUP(D59,[1]!Tabela24[Código consultor],[1]!Tabela24[Canal Consultor],0,0,1)</f>
        <v>DIGITAL</v>
      </c>
      <c r="G59" s="10" t="str">
        <f>_xlfn.XLOOKUP(B59,[1]!Tabela1[[Cidades ]],[1]!Tabela1[Regional],0,0,1)</f>
        <v>Magno</v>
      </c>
      <c r="H59" s="13" t="str">
        <f>_xlfn.XLOOKUP(B59,[1]!Tabela1[[Cidades ]],[1]!Tabela1[Gerente],0,0,1)</f>
        <v>Demais coordenadores</v>
      </c>
    </row>
    <row r="60" spans="1:8" x14ac:dyDescent="0.3">
      <c r="A60" s="4" t="s">
        <v>387</v>
      </c>
      <c r="B60" s="5" t="s">
        <v>76</v>
      </c>
      <c r="C60" s="6">
        <v>45833</v>
      </c>
      <c r="D60" s="7">
        <v>878918</v>
      </c>
      <c r="E60" s="5" t="str">
        <f>_xlfn.XLOOKUP(D60,[1]!Tabela24[Código consultor],[1]!Tabela24[Consultor Venda],0,0,1)</f>
        <v>COM - CIO - DANIELE VAZ</v>
      </c>
      <c r="F60" s="5" t="str">
        <f>_xlfn.XLOOKUP(D60,[1]!Tabela24[Código consultor],[1]!Tabela24[Canal Consultor],0,0,1)</f>
        <v>INTERNO</v>
      </c>
      <c r="G60" s="5" t="str">
        <f>_xlfn.XLOOKUP(B60,[1]!Tabela1[[Cidades ]],[1]!Tabela1[Regional],0,0,1)</f>
        <v>Alisson</v>
      </c>
      <c r="H60" s="8" t="str">
        <f>_xlfn.XLOOKUP(B60,[1]!Tabela1[[Cidades ]],[1]!Tabela1[Gerente],0,0,1)</f>
        <v>Helena</v>
      </c>
    </row>
    <row r="61" spans="1:8" x14ac:dyDescent="0.3">
      <c r="A61" s="9" t="s">
        <v>388</v>
      </c>
      <c r="B61" s="10" t="s">
        <v>39</v>
      </c>
      <c r="C61" s="11">
        <v>45833</v>
      </c>
      <c r="D61" s="12">
        <v>547570</v>
      </c>
      <c r="E61" s="5" t="str">
        <f>_xlfn.XLOOKUP(D61,[1]!Tabela24[Código consultor],[1]!Tabela24[Consultor Venda],0,0,1)</f>
        <v>COM - LGS - ISABEL CRISTINA RODRIGUES DE JESUS</v>
      </c>
      <c r="F61" s="5" t="str">
        <f>_xlfn.XLOOKUP(D61,[1]!Tabela24[Código consultor],[1]!Tabela24[Canal Consultor],0,0,1)</f>
        <v>INTERNO</v>
      </c>
      <c r="G61" s="10" t="str">
        <f>_xlfn.XLOOKUP(B61,[1]!Tabela1[[Cidades ]],[1]!Tabela1[Regional],0,0,1)</f>
        <v>Marcio</v>
      </c>
      <c r="H61" s="13" t="str">
        <f>_xlfn.XLOOKUP(B61,[1]!Tabela1[[Cidades ]],[1]!Tabela1[Gerente],0,0,1)</f>
        <v>Demais coordenadores</v>
      </c>
    </row>
    <row r="62" spans="1:8" x14ac:dyDescent="0.3">
      <c r="A62" s="4" t="s">
        <v>288</v>
      </c>
      <c r="B62" s="5" t="s">
        <v>27</v>
      </c>
      <c r="C62" s="6">
        <v>45833</v>
      </c>
      <c r="D62" s="7">
        <v>405</v>
      </c>
      <c r="E62" s="5" t="str">
        <f>_xlfn.XLOOKUP(D62,[1]!Tabela24[Código consultor],[1]!Tabela24[Consultor Venda],0,0,1)</f>
        <v>COM - VAA - GREICE BOEIRA DA SILVA</v>
      </c>
      <c r="F62" s="5" t="str">
        <f>_xlfn.XLOOKUP(D62,[1]!Tabela24[Código consultor],[1]!Tabela24[Canal Consultor],0,0,1)</f>
        <v>INTERNO</v>
      </c>
      <c r="G62" s="5" t="str">
        <f>_xlfn.XLOOKUP(B62,[1]!Tabela1[[Cidades ]],[1]!Tabela1[Regional],0,0,1)</f>
        <v>Alisson</v>
      </c>
      <c r="H62" s="8" t="str">
        <f>_xlfn.XLOOKUP(B62,[1]!Tabela1[[Cidades ]],[1]!Tabela1[Gerente],0,0,1)</f>
        <v>Tatiane</v>
      </c>
    </row>
    <row r="63" spans="1:8" x14ac:dyDescent="0.3">
      <c r="A63" s="9" t="s">
        <v>389</v>
      </c>
      <c r="B63" s="10" t="s">
        <v>22</v>
      </c>
      <c r="C63" s="11">
        <v>45833</v>
      </c>
      <c r="D63" s="12">
        <v>876162</v>
      </c>
      <c r="E63" s="5" t="str">
        <f>_xlfn.XLOOKUP(D63,[1]!Tabela24[Código consultor],[1]!Tabela24[Consultor Venda],0,0,1)</f>
        <v>COM - CAN - PAULA VITORIA ELIAS VIEIRA</v>
      </c>
      <c r="F63" s="5" t="str">
        <f>_xlfn.XLOOKUP(D63,[1]!Tabela24[Código consultor],[1]!Tabela24[Canal Consultor],0,0,1)</f>
        <v>Pap</v>
      </c>
      <c r="G63" s="10" t="str">
        <f>_xlfn.XLOOKUP(B63,[1]!Tabela1[[Cidades ]],[1]!Tabela1[Regional],0,0,1)</f>
        <v>Magno</v>
      </c>
      <c r="H63" s="13" t="str">
        <f>_xlfn.XLOOKUP(B63,[1]!Tabela1[[Cidades ]],[1]!Tabela1[Gerente],0,0,1)</f>
        <v>Demais coordenadores</v>
      </c>
    </row>
    <row r="64" spans="1:8" x14ac:dyDescent="0.3">
      <c r="A64" s="4" t="s">
        <v>289</v>
      </c>
      <c r="B64" s="5" t="s">
        <v>34</v>
      </c>
      <c r="C64" s="6">
        <v>45833</v>
      </c>
      <c r="D64" s="7">
        <v>788656</v>
      </c>
      <c r="E64" s="5" t="str">
        <f>_xlfn.XLOOKUP(D64,[1]!Tabela24[Código consultor],[1]!Tabela24[Consultor Venda],0,0,1)</f>
        <v>PAR - STB - PAP - JOY TELECOM - GABRIELA ALVES DE GODOY</v>
      </c>
      <c r="F64" s="5" t="str">
        <f>_xlfn.XLOOKUP(D64,[1]!Tabela24[Código consultor],[1]!Tabela24[Canal Consultor],0,0,1)</f>
        <v>PAR_DIG</v>
      </c>
      <c r="G64" s="5" t="str">
        <f>_xlfn.XLOOKUP(B64,[1]!Tabela1[[Cidades ]],[1]!Tabela1[Regional],0,0,1)</f>
        <v>Alisson</v>
      </c>
      <c r="H64" s="8" t="str">
        <f>_xlfn.XLOOKUP(B64,[1]!Tabela1[[Cidades ]],[1]!Tabela1[Gerente],0,0,1)</f>
        <v>Karine</v>
      </c>
    </row>
    <row r="65" spans="1:8" x14ac:dyDescent="0.3">
      <c r="A65" s="9" t="s">
        <v>390</v>
      </c>
      <c r="B65" s="10" t="s">
        <v>79</v>
      </c>
      <c r="C65" s="11">
        <v>45833</v>
      </c>
      <c r="D65" s="12">
        <v>361</v>
      </c>
      <c r="E65" s="5" t="str">
        <f>_xlfn.XLOOKUP(D65,[1]!Tabela24[Código consultor],[1]!Tabela24[Consultor Venda],0,0,1)</f>
        <v>COM - LVH - DANIELA DE ALMEIDA</v>
      </c>
      <c r="F65" s="5" t="str">
        <f>_xlfn.XLOOKUP(D65,[1]!Tabela24[Código consultor],[1]!Tabela24[Canal Consultor],0,0,1)</f>
        <v>INTERNO</v>
      </c>
      <c r="G65" s="10" t="str">
        <f>_xlfn.XLOOKUP(B65,[1]!Tabela1[[Cidades ]],[1]!Tabela1[Regional],0,0,1)</f>
        <v>Alisson</v>
      </c>
      <c r="H65" s="13" t="str">
        <f>_xlfn.XLOOKUP(B65,[1]!Tabela1[[Cidades ]],[1]!Tabela1[Gerente],0,0,1)</f>
        <v>Tatiane</v>
      </c>
    </row>
    <row r="66" spans="1:8" x14ac:dyDescent="0.3">
      <c r="A66" s="4" t="s">
        <v>292</v>
      </c>
      <c r="B66" s="5" t="s">
        <v>22</v>
      </c>
      <c r="C66" s="6">
        <v>45833</v>
      </c>
      <c r="D66" s="7">
        <v>617463</v>
      </c>
      <c r="E66" s="5" t="str">
        <f>_xlfn.XLOOKUP(D66,[1]!Tabela24[Código consultor],[1]!Tabela24[Consultor Venda],0,0,1)</f>
        <v>DIG - CCO - ALEX AUGUSTO DA CRUZ RODRIGUES</v>
      </c>
      <c r="F66" s="5" t="str">
        <f>_xlfn.XLOOKUP(D66,[1]!Tabela24[Código consultor],[1]!Tabela24[Canal Consultor],0,0,1)</f>
        <v>DIGITAL</v>
      </c>
      <c r="G66" s="5" t="str">
        <f>_xlfn.XLOOKUP(B66,[1]!Tabela1[[Cidades ]],[1]!Tabela1[Regional],0,0,1)</f>
        <v>Magno</v>
      </c>
      <c r="H66" s="8" t="str">
        <f>_xlfn.XLOOKUP(B66,[1]!Tabela1[[Cidades ]],[1]!Tabela1[Gerente],0,0,1)</f>
        <v>Demais coordenadores</v>
      </c>
    </row>
    <row r="67" spans="1:8" x14ac:dyDescent="0.3">
      <c r="A67" s="9" t="s">
        <v>391</v>
      </c>
      <c r="B67" s="10" t="s">
        <v>9</v>
      </c>
      <c r="C67" s="11">
        <v>45833</v>
      </c>
      <c r="D67" s="12">
        <v>855523</v>
      </c>
      <c r="E67" s="5" t="str">
        <f>_xlfn.XLOOKUP(D67,[1]!Tabela24[Código consultor],[1]!Tabela24[Consultor Venda],0,0,1)</f>
        <v>COM - PBC - CAROLINE DE ARAUJO</v>
      </c>
      <c r="F67" s="5" t="str">
        <f>_xlfn.XLOOKUP(D67,[1]!Tabela24[Código consultor],[1]!Tabela24[Canal Consultor],0,0,1)</f>
        <v>Pap</v>
      </c>
      <c r="G67" s="10" t="str">
        <f>_xlfn.XLOOKUP(B67,[1]!Tabela1[[Cidades ]],[1]!Tabela1[Regional],0,0,1)</f>
        <v>Maycon</v>
      </c>
      <c r="H67" s="13" t="str">
        <f>_xlfn.XLOOKUP(B67,[1]!Tabela1[[Cidades ]],[1]!Tabela1[Gerente],0,0,1)</f>
        <v>Demais coordenadores</v>
      </c>
    </row>
    <row r="68" spans="1:8" x14ac:dyDescent="0.3">
      <c r="A68" s="4" t="s">
        <v>293</v>
      </c>
      <c r="B68" s="5" t="s">
        <v>41</v>
      </c>
      <c r="C68" s="6">
        <v>45833</v>
      </c>
      <c r="D68" s="7">
        <v>770958</v>
      </c>
      <c r="E68" s="5" t="str">
        <f>_xlfn.XLOOKUP(D68,[1]!Tabela24[Código consultor],[1]!Tabela24[Consultor Venda],0,0,1)</f>
        <v>COM - CLD - JOANNA LEDUR</v>
      </c>
      <c r="F68" s="5" t="str">
        <f>_xlfn.XLOOKUP(D68,[1]!Tabela24[Código consultor],[1]!Tabela24[Canal Consultor],0,0,1)</f>
        <v>INTERNO</v>
      </c>
      <c r="G68" s="5" t="str">
        <f>_xlfn.XLOOKUP(B68,[1]!Tabela1[[Cidades ]],[1]!Tabela1[Regional],0,0,1)</f>
        <v>Maycon</v>
      </c>
      <c r="H68" s="8" t="str">
        <f>_xlfn.XLOOKUP(B68,[1]!Tabela1[[Cidades ]],[1]!Tabela1[Gerente],0,0,1)</f>
        <v>Demais coordenadores</v>
      </c>
    </row>
    <row r="69" spans="1:8" x14ac:dyDescent="0.3">
      <c r="A69" s="9" t="s">
        <v>294</v>
      </c>
      <c r="B69" s="10" t="s">
        <v>41</v>
      </c>
      <c r="C69" s="11">
        <v>45833</v>
      </c>
      <c r="D69" s="12">
        <v>837970</v>
      </c>
      <c r="E69" s="5" t="str">
        <f>_xlfn.XLOOKUP(D69,[1]!Tabela24[Código consultor],[1]!Tabela24[Consultor Venda],0,0,1)</f>
        <v>COM - CLD - SUELEN STETST DOS SANTOS</v>
      </c>
      <c r="F69" s="5" t="str">
        <f>_xlfn.XLOOKUP(D69,[1]!Tabela24[Código consultor],[1]!Tabela24[Canal Consultor],0,0,1)</f>
        <v>INTERNO</v>
      </c>
      <c r="G69" s="10" t="str">
        <f>_xlfn.XLOOKUP(B69,[1]!Tabela1[[Cidades ]],[1]!Tabela1[Regional],0,0,1)</f>
        <v>Maycon</v>
      </c>
      <c r="H69" s="13" t="str">
        <f>_xlfn.XLOOKUP(B69,[1]!Tabela1[[Cidades ]],[1]!Tabela1[Gerente],0,0,1)</f>
        <v>Demais coordenadores</v>
      </c>
    </row>
    <row r="70" spans="1:8" x14ac:dyDescent="0.3">
      <c r="A70" s="4" t="s">
        <v>392</v>
      </c>
      <c r="B70" s="5" t="s">
        <v>65</v>
      </c>
      <c r="C70" s="6">
        <v>45833</v>
      </c>
      <c r="D70" s="7">
        <v>862715</v>
      </c>
      <c r="E70" s="5" t="str">
        <f>_xlfn.XLOOKUP(D70,[1]!Tabela24[Código consultor],[1]!Tabela24[Consultor Venda],0,0,1)</f>
        <v>COM - CUA - NICOLE FLORIANI ALVES</v>
      </c>
      <c r="F70" s="5" t="str">
        <f>_xlfn.XLOOKUP(D70,[1]!Tabela24[Código consultor],[1]!Tabela24[Canal Consultor],0,0,1)</f>
        <v>Pap</v>
      </c>
      <c r="G70" s="5" t="str">
        <f>_xlfn.XLOOKUP(B70,[1]!Tabela1[[Cidades ]],[1]!Tabela1[Regional],0,0,1)</f>
        <v>Marcio</v>
      </c>
      <c r="H70" s="8" t="str">
        <f>_xlfn.XLOOKUP(B70,[1]!Tabela1[[Cidades ]],[1]!Tabela1[Gerente],0,0,1)</f>
        <v>Demais coordenadores</v>
      </c>
    </row>
    <row r="71" spans="1:8" x14ac:dyDescent="0.3">
      <c r="A71" s="9" t="s">
        <v>295</v>
      </c>
      <c r="B71" s="10" t="s">
        <v>31</v>
      </c>
      <c r="C71" s="11">
        <v>45833</v>
      </c>
      <c r="D71" s="12">
        <v>525458</v>
      </c>
      <c r="E71" s="5" t="str">
        <f>_xlfn.XLOOKUP(D71,[1]!Tabela24[Código consultor],[1]!Tabela24[Consultor Venda],0,0,1)</f>
        <v>PAR - ADM - GRP - FIGUEREDO MOBILE  - JOSELIO O. P. JUNIOR</v>
      </c>
      <c r="F71" s="5" t="str">
        <f>_xlfn.XLOOKUP(D71,[1]!Tabela24[Código consultor],[1]!Tabela24[Canal Consultor],0,0,1)</f>
        <v>PAR</v>
      </c>
      <c r="G71" s="10" t="str">
        <f>_xlfn.XLOOKUP(B71,[1]!Tabela1[[Cidades ]],[1]!Tabela1[Regional],0,0,1)</f>
        <v>Maycon</v>
      </c>
      <c r="H71" s="13" t="str">
        <f>_xlfn.XLOOKUP(B71,[1]!Tabela1[[Cidades ]],[1]!Tabela1[Gerente],0,0,1)</f>
        <v>Demais coordenadores</v>
      </c>
    </row>
    <row r="72" spans="1:8" x14ac:dyDescent="0.3">
      <c r="A72" s="4" t="s">
        <v>393</v>
      </c>
      <c r="B72" s="5" t="s">
        <v>30</v>
      </c>
      <c r="C72" s="6">
        <v>45833</v>
      </c>
      <c r="D72" s="7">
        <v>867522</v>
      </c>
      <c r="E72" s="5" t="str">
        <f>_xlfn.XLOOKUP(D72,[1]!Tabela24[Código consultor],[1]!Tabela24[Consultor Venda],0,0,1)</f>
        <v>COM - IGA - SANDRO CESAR MARTINS</v>
      </c>
      <c r="F72" s="5" t="str">
        <f>_xlfn.XLOOKUP(D72,[1]!Tabela24[Código consultor],[1]!Tabela24[Canal Consultor],0,0,1)</f>
        <v>Pap</v>
      </c>
      <c r="G72" s="5" t="str">
        <f>_xlfn.XLOOKUP(B72,[1]!Tabela1[[Cidades ]],[1]!Tabela1[Regional],0,0,1)</f>
        <v>Jean</v>
      </c>
      <c r="H72" s="8" t="str">
        <f>_xlfn.XLOOKUP(B72,[1]!Tabela1[[Cidades ]],[1]!Tabela1[Gerente],0,0,1)</f>
        <v>Demais coordenadores</v>
      </c>
    </row>
    <row r="73" spans="1:8" x14ac:dyDescent="0.3">
      <c r="A73" s="9" t="s">
        <v>394</v>
      </c>
      <c r="B73" s="10" t="s">
        <v>30</v>
      </c>
      <c r="C73" s="11">
        <v>45833</v>
      </c>
      <c r="D73" s="12">
        <v>866752</v>
      </c>
      <c r="E73" s="5" t="str">
        <f>_xlfn.XLOOKUP(D73,[1]!Tabela24[Código consultor],[1]!Tabela24[Consultor Venda],0,0,1)</f>
        <v>COM - IGA - JULIANA CRISTINA ALVES DOS SANTOS</v>
      </c>
      <c r="F73" s="5" t="str">
        <f>_xlfn.XLOOKUP(D73,[1]!Tabela24[Código consultor],[1]!Tabela24[Canal Consultor],0,0,1)</f>
        <v>INTERNO</v>
      </c>
      <c r="G73" s="10" t="str">
        <f>_xlfn.XLOOKUP(B73,[1]!Tabela1[[Cidades ]],[1]!Tabela1[Regional],0,0,1)</f>
        <v>Jean</v>
      </c>
      <c r="H73" s="13" t="str">
        <f>_xlfn.XLOOKUP(B73,[1]!Tabela1[[Cidades ]],[1]!Tabela1[Gerente],0,0,1)</f>
        <v>Demais coordenadores</v>
      </c>
    </row>
    <row r="74" spans="1:8" x14ac:dyDescent="0.3">
      <c r="A74" s="4" t="s">
        <v>297</v>
      </c>
      <c r="B74" s="5" t="s">
        <v>24</v>
      </c>
      <c r="C74" s="6">
        <v>45833</v>
      </c>
      <c r="D74" s="7">
        <v>608355</v>
      </c>
      <c r="E74" s="5" t="str">
        <f>_xlfn.XLOOKUP(D74,[1]!Tabela24[Código consultor],[1]!Tabela24[Consultor Venda],0,0,1)</f>
        <v>COM - SMA - JANAINA SEBBEN DOS SANTOS</v>
      </c>
      <c r="F74" s="5" t="str">
        <f>_xlfn.XLOOKUP(D74,[1]!Tabela24[Código consultor],[1]!Tabela24[Canal Consultor],0,0,1)</f>
        <v>INTERNO</v>
      </c>
      <c r="G74" s="5" t="str">
        <f>_xlfn.XLOOKUP(B74,[1]!Tabela1[[Cidades ]],[1]!Tabela1[Regional],0,0,1)</f>
        <v>Magno</v>
      </c>
      <c r="H74" s="8" t="str">
        <f>_xlfn.XLOOKUP(B74,[1]!Tabela1[[Cidades ]],[1]!Tabela1[Gerente],0,0,1)</f>
        <v>Demais coordenadores</v>
      </c>
    </row>
    <row r="75" spans="1:8" x14ac:dyDescent="0.3">
      <c r="A75" s="9" t="s">
        <v>164</v>
      </c>
      <c r="B75" s="10" t="s">
        <v>54</v>
      </c>
      <c r="C75" s="11">
        <v>45833</v>
      </c>
      <c r="D75" s="12">
        <v>617463</v>
      </c>
      <c r="E75" s="5" t="str">
        <f>_xlfn.XLOOKUP(D75,[1]!Tabela24[Código consultor],[1]!Tabela24[Consultor Venda],0,0,1)</f>
        <v>DIG - CCO - ALEX AUGUSTO DA CRUZ RODRIGUES</v>
      </c>
      <c r="F75" s="5" t="str">
        <f>_xlfn.XLOOKUP(D75,[1]!Tabela24[Código consultor],[1]!Tabela24[Canal Consultor],0,0,1)</f>
        <v>DIGITAL</v>
      </c>
      <c r="G75" s="10" t="str">
        <f>_xlfn.XLOOKUP(B75,[1]!Tabela1[[Cidades ]],[1]!Tabela1[Regional],0,0,1)</f>
        <v>Alisson</v>
      </c>
      <c r="H75" s="13" t="str">
        <f>_xlfn.XLOOKUP(B75,[1]!Tabela1[[Cidades ]],[1]!Tabela1[Gerente],0,0,1)</f>
        <v>Tatiane</v>
      </c>
    </row>
    <row r="76" spans="1:8" x14ac:dyDescent="0.3">
      <c r="A76" s="4" t="s">
        <v>395</v>
      </c>
      <c r="B76" s="5" t="s">
        <v>31</v>
      </c>
      <c r="C76" s="6">
        <v>45833</v>
      </c>
      <c r="D76" s="7">
        <v>794227</v>
      </c>
      <c r="E76" s="5" t="str">
        <f>_xlfn.XLOOKUP(D76,[1]!Tabela24[Código consultor],[1]!Tabela24[Consultor Venda],0,0,1)</f>
        <v>PAR - PAP - TECH PERFORMANCE - Dario de Oliveira</v>
      </c>
      <c r="F76" s="5" t="str">
        <f>_xlfn.XLOOKUP(D76,[1]!Tabela24[Código consultor],[1]!Tabela24[Canal Consultor],0,0,1)</f>
        <v>Par</v>
      </c>
      <c r="G76" s="5" t="str">
        <f>_xlfn.XLOOKUP(B76,[1]!Tabela1[[Cidades ]],[1]!Tabela1[Regional],0,0,1)</f>
        <v>Maycon</v>
      </c>
      <c r="H76" s="8" t="str">
        <f>_xlfn.XLOOKUP(B76,[1]!Tabela1[[Cidades ]],[1]!Tabela1[Gerente],0,0,1)</f>
        <v>Demais coordenadores</v>
      </c>
    </row>
    <row r="77" spans="1:8" x14ac:dyDescent="0.3">
      <c r="A77" s="9" t="s">
        <v>396</v>
      </c>
      <c r="B77" s="10" t="s">
        <v>36</v>
      </c>
      <c r="C77" s="11">
        <v>45833</v>
      </c>
      <c r="D77" s="12">
        <v>235841</v>
      </c>
      <c r="E77" s="5" t="str">
        <f>_xlfn.XLOOKUP(D77,[1]!Tabela24[Código consultor],[1]!Tabela24[Consultor Venda],0,0,1)</f>
        <v>DIG - CCO - KAUANA BONI</v>
      </c>
      <c r="F77" s="5" t="str">
        <f>_xlfn.XLOOKUP(D77,[1]!Tabela24[Código consultor],[1]!Tabela24[Canal Consultor],0,0,1)</f>
        <v>DIGITAL</v>
      </c>
      <c r="G77" s="10" t="str">
        <f>_xlfn.XLOOKUP(B77,[1]!Tabela1[[Cidades ]],[1]!Tabela1[Regional],0,0,1)</f>
        <v>Adilson</v>
      </c>
      <c r="H77" s="13" t="str">
        <f>_xlfn.XLOOKUP(B77,[1]!Tabela1[[Cidades ]],[1]!Tabela1[Gerente],0,0,1)</f>
        <v>Demais coordenadores</v>
      </c>
    </row>
    <row r="78" spans="1:8" x14ac:dyDescent="0.3">
      <c r="A78" s="4" t="s">
        <v>298</v>
      </c>
      <c r="B78" s="5" t="s">
        <v>114</v>
      </c>
      <c r="C78" s="6">
        <v>45833</v>
      </c>
      <c r="D78" s="7">
        <v>475861</v>
      </c>
      <c r="E78" s="5" t="str">
        <f>_xlfn.XLOOKUP(D78,[1]!Tabela24[Código consultor],[1]!Tabela24[Consultor Venda],0,0,1)</f>
        <v>COM - UMR - PAULO EDUARDO RESENDE CORSINI</v>
      </c>
      <c r="F78" s="5" t="str">
        <f>_xlfn.XLOOKUP(D78,[1]!Tabela24[Código consultor],[1]!Tabela24[Canal Consultor],0,0,1)</f>
        <v>INTERNO</v>
      </c>
      <c r="G78" s="5" t="str">
        <f>_xlfn.XLOOKUP(B78,[1]!Tabela1[[Cidades ]],[1]!Tabela1[Regional],0,0,1)</f>
        <v>Adilson</v>
      </c>
      <c r="H78" s="8" t="str">
        <f>_xlfn.XLOOKUP(B78,[1]!Tabela1[[Cidades ]],[1]!Tabela1[Gerente],0,0,1)</f>
        <v>Demais coordenadores</v>
      </c>
    </row>
    <row r="79" spans="1:8" x14ac:dyDescent="0.3">
      <c r="A79" s="9" t="s">
        <v>397</v>
      </c>
      <c r="B79" s="10" t="s">
        <v>59</v>
      </c>
      <c r="C79" s="11">
        <v>45833</v>
      </c>
      <c r="D79" s="12">
        <v>235841</v>
      </c>
      <c r="E79" s="5" t="str">
        <f>_xlfn.XLOOKUP(D79,[1]!Tabela24[Código consultor],[1]!Tabela24[Consultor Venda],0,0,1)</f>
        <v>DIG - CCO - KAUANA BONI</v>
      </c>
      <c r="F79" s="5" t="str">
        <f>_xlfn.XLOOKUP(D79,[1]!Tabela24[Código consultor],[1]!Tabela24[Canal Consultor],0,0,1)</f>
        <v>DIGITAL</v>
      </c>
      <c r="G79" s="10" t="str">
        <f>_xlfn.XLOOKUP(B79,[1]!Tabela1[[Cidades ]],[1]!Tabela1[Regional],0,0,1)</f>
        <v>Adilson</v>
      </c>
      <c r="H79" s="13" t="str">
        <f>_xlfn.XLOOKUP(B79,[1]!Tabela1[[Cidades ]],[1]!Tabela1[Gerente],0,0,1)</f>
        <v>Demais coordenadores</v>
      </c>
    </row>
    <row r="80" spans="1:8" x14ac:dyDescent="0.3">
      <c r="A80" s="4" t="s">
        <v>398</v>
      </c>
      <c r="B80" s="5" t="s">
        <v>12</v>
      </c>
      <c r="C80" s="6">
        <v>45833</v>
      </c>
      <c r="D80" s="7">
        <v>40828</v>
      </c>
      <c r="E80" s="5" t="str">
        <f>_xlfn.XLOOKUP(D80,[1]!Tabela24[Código consultor],[1]!Tabela24[Consultor Venda],0,0,1)</f>
        <v>COM - PGO - CRISTIANE APARECIDA CHIAMULERA</v>
      </c>
      <c r="F80" s="5" t="str">
        <f>_xlfn.XLOOKUP(D80,[1]!Tabela24[Código consultor],[1]!Tabela24[Canal Consultor],0,0,1)</f>
        <v>Pap</v>
      </c>
      <c r="G80" s="5" t="str">
        <f>_xlfn.XLOOKUP(B80,[1]!Tabela1[[Cidades ]],[1]!Tabela1[Regional],0,0,1)</f>
        <v>Jean</v>
      </c>
      <c r="H80" s="8" t="str">
        <f>_xlfn.XLOOKUP(B80,[1]!Tabela1[[Cidades ]],[1]!Tabela1[Gerente],0,0,1)</f>
        <v>Demais coordenadores</v>
      </c>
    </row>
    <row r="81" spans="1:8" x14ac:dyDescent="0.3">
      <c r="A81" s="9" t="s">
        <v>399</v>
      </c>
      <c r="B81" s="10" t="s">
        <v>23</v>
      </c>
      <c r="C81" s="11">
        <v>45833</v>
      </c>
      <c r="D81" s="12">
        <v>767508</v>
      </c>
      <c r="E81" s="5" t="str">
        <f>_xlfn.XLOOKUP(D81,[1]!Tabela24[Código consultor],[1]!Tabela24[Consultor Venda],0,0,1)</f>
        <v>COM - CAN - JULIANA DA SILVA ASSUNCAO</v>
      </c>
      <c r="F81" s="5" t="str">
        <f>_xlfn.XLOOKUP(D81,[1]!Tabela24[Código consultor],[1]!Tabela24[Canal Consultor],0,0,1)</f>
        <v>Pap</v>
      </c>
      <c r="G81" s="10" t="str">
        <f>_xlfn.XLOOKUP(B81,[1]!Tabela1[[Cidades ]],[1]!Tabela1[Regional],0,0,1)</f>
        <v>Magno</v>
      </c>
      <c r="H81" s="13" t="str">
        <f>_xlfn.XLOOKUP(B81,[1]!Tabela1[[Cidades ]],[1]!Tabela1[Gerente],0,0,1)</f>
        <v>Demais coordenadores</v>
      </c>
    </row>
    <row r="82" spans="1:8" x14ac:dyDescent="0.3">
      <c r="A82" s="4" t="s">
        <v>400</v>
      </c>
      <c r="B82" s="5" t="s">
        <v>30</v>
      </c>
      <c r="C82" s="6">
        <v>45833</v>
      </c>
      <c r="D82" s="7">
        <v>867522</v>
      </c>
      <c r="E82" s="5" t="str">
        <f>_xlfn.XLOOKUP(D82,[1]!Tabela24[Código consultor],[1]!Tabela24[Consultor Venda],0,0,1)</f>
        <v>COM - IGA - SANDRO CESAR MARTINS</v>
      </c>
      <c r="F82" s="5" t="str">
        <f>_xlfn.XLOOKUP(D82,[1]!Tabela24[Código consultor],[1]!Tabela24[Canal Consultor],0,0,1)</f>
        <v>Pap</v>
      </c>
      <c r="G82" s="5" t="str">
        <f>_xlfn.XLOOKUP(B82,[1]!Tabela1[[Cidades ]],[1]!Tabela1[Regional],0,0,1)</f>
        <v>Jean</v>
      </c>
      <c r="H82" s="8" t="str">
        <f>_xlfn.XLOOKUP(B82,[1]!Tabela1[[Cidades ]],[1]!Tabela1[Gerente],0,0,1)</f>
        <v>Demais coordenadores</v>
      </c>
    </row>
    <row r="83" spans="1:8" x14ac:dyDescent="0.3">
      <c r="A83" s="9" t="s">
        <v>301</v>
      </c>
      <c r="B83" s="10" t="s">
        <v>35</v>
      </c>
      <c r="C83" s="11">
        <v>45833</v>
      </c>
      <c r="D83" s="12">
        <v>766269</v>
      </c>
      <c r="E83" s="5" t="str">
        <f>_xlfn.XLOOKUP(D83,[1]!Tabela24[Código consultor],[1]!Tabela24[Consultor Venda],0,0,1)</f>
        <v>COM - FRL - THALIA PRATES RIGHI</v>
      </c>
      <c r="F83" s="5" t="str">
        <f>_xlfn.XLOOKUP(D83,[1]!Tabela24[Código consultor],[1]!Tabela24[Canal Consultor],0,0,1)</f>
        <v>Pap</v>
      </c>
      <c r="G83" s="10" t="str">
        <f>_xlfn.XLOOKUP(B83,[1]!Tabela1[[Cidades ]],[1]!Tabela1[Regional],0,0,1)</f>
        <v>Magno</v>
      </c>
      <c r="H83" s="13" t="str">
        <f>_xlfn.XLOOKUP(B83,[1]!Tabela1[[Cidades ]],[1]!Tabela1[Gerente],0,0,1)</f>
        <v>Demais coordenadores</v>
      </c>
    </row>
    <row r="84" spans="1:8" x14ac:dyDescent="0.3">
      <c r="A84" s="4" t="s">
        <v>401</v>
      </c>
      <c r="B84" s="5" t="s">
        <v>27</v>
      </c>
      <c r="C84" s="6">
        <v>45833</v>
      </c>
      <c r="D84" s="7">
        <v>197832</v>
      </c>
      <c r="E84" s="5" t="str">
        <f>_xlfn.XLOOKUP(D84,[1]!Tabela24[Código consultor],[1]!Tabela24[Consultor Venda],0,0,1)</f>
        <v>DIG - CCO - RAIANE BERGAMIN</v>
      </c>
      <c r="F84" s="5" t="str">
        <f>_xlfn.XLOOKUP(D84,[1]!Tabela24[Código consultor],[1]!Tabela24[Canal Consultor],0,0,1)</f>
        <v>DIGITAL</v>
      </c>
      <c r="G84" s="5" t="str">
        <f>_xlfn.XLOOKUP(B84,[1]!Tabela1[[Cidades ]],[1]!Tabela1[Regional],0,0,1)</f>
        <v>Alisson</v>
      </c>
      <c r="H84" s="8" t="str">
        <f>_xlfn.XLOOKUP(B84,[1]!Tabela1[[Cidades ]],[1]!Tabela1[Gerente],0,0,1)</f>
        <v>Tatiane</v>
      </c>
    </row>
    <row r="85" spans="1:8" x14ac:dyDescent="0.3">
      <c r="A85" s="9" t="s">
        <v>402</v>
      </c>
      <c r="B85" s="10" t="s">
        <v>71</v>
      </c>
      <c r="C85" s="11">
        <v>45833</v>
      </c>
      <c r="D85" s="12">
        <v>368409</v>
      </c>
      <c r="E85" s="5" t="str">
        <f>_xlfn.XLOOKUP(D85,[1]!Tabela24[Código consultor],[1]!Tabela24[Consultor Venda],0,0,1)</f>
        <v>COM - IGA - GABRIELLE GARCIA DA COSTA</v>
      </c>
      <c r="F85" s="5" t="str">
        <f>_xlfn.XLOOKUP(D85,[1]!Tabela24[Código consultor],[1]!Tabela24[Canal Consultor],0,0,1)</f>
        <v>INTERNO</v>
      </c>
      <c r="G85" s="10" t="str">
        <f>_xlfn.XLOOKUP(B85,[1]!Tabela1[[Cidades ]],[1]!Tabela1[Regional],0,0,1)</f>
        <v>Jean</v>
      </c>
      <c r="H85" s="13" t="str">
        <f>_xlfn.XLOOKUP(B85,[1]!Tabela1[[Cidades ]],[1]!Tabela1[Gerente],0,0,1)</f>
        <v>Demais coordenadores</v>
      </c>
    </row>
    <row r="86" spans="1:8" x14ac:dyDescent="0.3">
      <c r="A86" s="4" t="s">
        <v>403</v>
      </c>
      <c r="B86" s="5" t="s">
        <v>42</v>
      </c>
      <c r="C86" s="6">
        <v>45833</v>
      </c>
      <c r="D86" s="7">
        <v>683349</v>
      </c>
      <c r="E86" s="5" t="str">
        <f>_xlfn.XLOOKUP(D86,[1]!Tabela24[Código consultor],[1]!Tabela24[Consultor Venda],0,0,1)</f>
        <v>DIG - CCO - EVELLIN SALOA MAIA DA CONCEICAO</v>
      </c>
      <c r="F86" s="5" t="str">
        <f>_xlfn.XLOOKUP(D86,[1]!Tabela24[Código consultor],[1]!Tabela24[Canal Consultor],0,0,1)</f>
        <v>DIGITAL</v>
      </c>
      <c r="G86" s="5" t="str">
        <f>_xlfn.XLOOKUP(B86,[1]!Tabela1[[Cidades ]],[1]!Tabela1[Regional],0,0,1)</f>
        <v>Maycon</v>
      </c>
      <c r="H86" s="8" t="str">
        <f>_xlfn.XLOOKUP(B86,[1]!Tabela1[[Cidades ]],[1]!Tabela1[Gerente],0,0,1)</f>
        <v>Demais coordenadores</v>
      </c>
    </row>
    <row r="87" spans="1:8" x14ac:dyDescent="0.3">
      <c r="A87" s="9" t="s">
        <v>404</v>
      </c>
      <c r="B87" s="10" t="s">
        <v>46</v>
      </c>
      <c r="C87" s="11">
        <v>45833</v>
      </c>
      <c r="D87" s="12">
        <v>788656</v>
      </c>
      <c r="E87" s="5" t="str">
        <f>_xlfn.XLOOKUP(D87,[1]!Tabela24[Código consultor],[1]!Tabela24[Consultor Venda],0,0,1)</f>
        <v>PAR - STB - PAP - JOY TELECOM - GABRIELA ALVES DE GODOY</v>
      </c>
      <c r="F87" s="5" t="str">
        <f>_xlfn.XLOOKUP(D87,[1]!Tabela24[Código consultor],[1]!Tabela24[Canal Consultor],0,0,1)</f>
        <v>PAR_DIG</v>
      </c>
      <c r="G87" s="10" t="str">
        <f>_xlfn.XLOOKUP(B87,[1]!Tabela1[[Cidades ]],[1]!Tabela1[Regional],0,0,1)</f>
        <v>Magno</v>
      </c>
      <c r="H87" s="13" t="str">
        <f>_xlfn.XLOOKUP(B87,[1]!Tabela1[[Cidades ]],[1]!Tabela1[Gerente],0,0,1)</f>
        <v>Demais coordenadores</v>
      </c>
    </row>
    <row r="88" spans="1:8" x14ac:dyDescent="0.3">
      <c r="A88" s="4" t="s">
        <v>405</v>
      </c>
      <c r="B88" s="5" t="s">
        <v>18</v>
      </c>
      <c r="C88" s="6">
        <v>45833</v>
      </c>
      <c r="D88" s="7">
        <v>827465</v>
      </c>
      <c r="E88" s="5" t="str">
        <f>_xlfn.XLOOKUP(D88,[1]!Tabela24[Código consultor],[1]!Tabela24[Consultor Venda],0,0,1)</f>
        <v>DIG - ATV - TAINARA RODRIGUES CORDEIRO</v>
      </c>
      <c r="F88" s="5" t="str">
        <f>_xlfn.XLOOKUP(D88,[1]!Tabela24[Código consultor],[1]!Tabela24[Canal Consultor],0,0,1)</f>
        <v>Televendas Ativo</v>
      </c>
      <c r="G88" s="5" t="str">
        <f>_xlfn.XLOOKUP(B88,[1]!Tabela1[[Cidades ]],[1]!Tabela1[Regional],0,0,1)</f>
        <v>Maycon</v>
      </c>
      <c r="H88" s="8" t="str">
        <f>_xlfn.XLOOKUP(B88,[1]!Tabela1[[Cidades ]],[1]!Tabela1[Gerente],0,0,1)</f>
        <v>Demais coordenadores</v>
      </c>
    </row>
    <row r="89" spans="1:8" x14ac:dyDescent="0.3">
      <c r="A89" s="9" t="s">
        <v>302</v>
      </c>
      <c r="B89" s="10" t="s">
        <v>117</v>
      </c>
      <c r="C89" s="11">
        <v>45833</v>
      </c>
      <c r="D89" s="12">
        <v>525458</v>
      </c>
      <c r="E89" s="5" t="str">
        <f>_xlfn.XLOOKUP(D89,[1]!Tabela24[Código consultor],[1]!Tabela24[Consultor Venda],0,0,1)</f>
        <v>PAR - ADM - GRP - FIGUEREDO MOBILE  - JOSELIO O. P. JUNIOR</v>
      </c>
      <c r="F89" s="5" t="str">
        <f>_xlfn.XLOOKUP(D89,[1]!Tabela24[Código consultor],[1]!Tabela24[Canal Consultor],0,0,1)</f>
        <v>PAR</v>
      </c>
      <c r="G89" s="10" t="str">
        <f>_xlfn.XLOOKUP(B89,[1]!Tabela1[[Cidades ]],[1]!Tabela1[Regional],0,0,1)</f>
        <v>Alisson</v>
      </c>
      <c r="H89" s="13" t="str">
        <f>_xlfn.XLOOKUP(B89,[1]!Tabela1[[Cidades ]],[1]!Tabela1[Gerente],0,0,1)</f>
        <v>Karine</v>
      </c>
    </row>
    <row r="90" spans="1:8" x14ac:dyDescent="0.3">
      <c r="A90" s="4" t="s">
        <v>406</v>
      </c>
      <c r="B90" s="5" t="s">
        <v>24</v>
      </c>
      <c r="C90" s="6">
        <v>45833</v>
      </c>
      <c r="D90" s="7">
        <v>608355</v>
      </c>
      <c r="E90" s="5" t="str">
        <f>_xlfn.XLOOKUP(D90,[1]!Tabela24[Código consultor],[1]!Tabela24[Consultor Venda],0,0,1)</f>
        <v>COM - SMA - JANAINA SEBBEN DOS SANTOS</v>
      </c>
      <c r="F90" s="5" t="str">
        <f>_xlfn.XLOOKUP(D90,[1]!Tabela24[Código consultor],[1]!Tabela24[Canal Consultor],0,0,1)</f>
        <v>INTERNO</v>
      </c>
      <c r="G90" s="5" t="str">
        <f>_xlfn.XLOOKUP(B90,[1]!Tabela1[[Cidades ]],[1]!Tabela1[Regional],0,0,1)</f>
        <v>Magno</v>
      </c>
      <c r="H90" s="8" t="str">
        <f>_xlfn.XLOOKUP(B90,[1]!Tabela1[[Cidades ]],[1]!Tabela1[Gerente],0,0,1)</f>
        <v>Demais coordenadores</v>
      </c>
    </row>
    <row r="91" spans="1:8" x14ac:dyDescent="0.3">
      <c r="A91" s="9" t="s">
        <v>407</v>
      </c>
      <c r="B91" s="10" t="s">
        <v>32</v>
      </c>
      <c r="C91" s="11">
        <v>45833</v>
      </c>
      <c r="D91" s="12">
        <v>829353</v>
      </c>
      <c r="E91" s="5" t="str">
        <f>_xlfn.XLOOKUP(D91,[1]!Tabela24[Código consultor],[1]!Tabela24[Consultor Venda],0,0,1)</f>
        <v>COM - IGA - KARL EDUARDO MORAES DE ALMEIDA</v>
      </c>
      <c r="F91" s="5" t="str">
        <f>_xlfn.XLOOKUP(D91,[1]!Tabela24[Código consultor],[1]!Tabela24[Canal Consultor],0,0,1)</f>
        <v>Pap</v>
      </c>
      <c r="G91" s="10" t="str">
        <f>_xlfn.XLOOKUP(B91,[1]!Tabela1[[Cidades ]],[1]!Tabela1[Regional],0,0,1)</f>
        <v>Jean</v>
      </c>
      <c r="H91" s="13" t="str">
        <f>_xlfn.XLOOKUP(B91,[1]!Tabela1[[Cidades ]],[1]!Tabela1[Gerente],0,0,1)</f>
        <v>Demais coordenadores</v>
      </c>
    </row>
    <row r="92" spans="1:8" x14ac:dyDescent="0.3">
      <c r="A92" s="4" t="s">
        <v>304</v>
      </c>
      <c r="B92" s="5" t="s">
        <v>114</v>
      </c>
      <c r="C92" s="6">
        <v>45833</v>
      </c>
      <c r="D92" s="7">
        <v>475861</v>
      </c>
      <c r="E92" s="5" t="str">
        <f>_xlfn.XLOOKUP(D92,[1]!Tabela24[Código consultor],[1]!Tabela24[Consultor Venda],0,0,1)</f>
        <v>COM - UMR - PAULO EDUARDO RESENDE CORSINI</v>
      </c>
      <c r="F92" s="5" t="str">
        <f>_xlfn.XLOOKUP(D92,[1]!Tabela24[Código consultor],[1]!Tabela24[Canal Consultor],0,0,1)</f>
        <v>INTERNO</v>
      </c>
      <c r="G92" s="5" t="str">
        <f>_xlfn.XLOOKUP(B92,[1]!Tabela1[[Cidades ]],[1]!Tabela1[Regional],0,0,1)</f>
        <v>Adilson</v>
      </c>
      <c r="H92" s="8" t="str">
        <f>_xlfn.XLOOKUP(B92,[1]!Tabela1[[Cidades ]],[1]!Tabela1[Gerente],0,0,1)</f>
        <v>Demais coordenadores</v>
      </c>
    </row>
    <row r="93" spans="1:8" x14ac:dyDescent="0.3">
      <c r="A93" s="9" t="s">
        <v>408</v>
      </c>
      <c r="B93" s="10" t="s">
        <v>70</v>
      </c>
      <c r="C93" s="11">
        <v>45833</v>
      </c>
      <c r="D93" s="12">
        <v>525458</v>
      </c>
      <c r="E93" s="5" t="str">
        <f>_xlfn.XLOOKUP(D93,[1]!Tabela24[Código consultor],[1]!Tabela24[Consultor Venda],0,0,1)</f>
        <v>PAR - ADM - GRP - FIGUEREDO MOBILE  - JOSELIO O. P. JUNIOR</v>
      </c>
      <c r="F93" s="5" t="str">
        <f>_xlfn.XLOOKUP(D93,[1]!Tabela24[Código consultor],[1]!Tabela24[Canal Consultor],0,0,1)</f>
        <v>PAR</v>
      </c>
      <c r="G93" s="10" t="str">
        <f>_xlfn.XLOOKUP(B93,[1]!Tabela1[[Cidades ]],[1]!Tabela1[Regional],0,0,1)</f>
        <v>Alisson</v>
      </c>
      <c r="H93" s="13" t="str">
        <f>_xlfn.XLOOKUP(B93,[1]!Tabela1[[Cidades ]],[1]!Tabela1[Gerente],0,0,1)</f>
        <v>Ariana</v>
      </c>
    </row>
    <row r="94" spans="1:8" x14ac:dyDescent="0.3">
      <c r="A94" s="4" t="s">
        <v>409</v>
      </c>
      <c r="B94" s="5" t="s">
        <v>23</v>
      </c>
      <c r="C94" s="6">
        <v>45833</v>
      </c>
      <c r="D94" s="7">
        <v>878638</v>
      </c>
      <c r="E94" s="5" t="str">
        <f>_xlfn.XLOOKUP(D94,[1]!Tabela24[Código consultor],[1]!Tabela24[Consultor Venda],0,0,1)</f>
        <v>COM - CAN - STEPHANI CRISTINA DUARTE BENITES</v>
      </c>
      <c r="F94" s="5" t="str">
        <f>_xlfn.XLOOKUP(D94,[1]!Tabela24[Código consultor],[1]!Tabela24[Canal Consultor],0,0,1)</f>
        <v>Pap</v>
      </c>
      <c r="G94" s="5" t="str">
        <f>_xlfn.XLOOKUP(B94,[1]!Tabela1[[Cidades ]],[1]!Tabela1[Regional],0,0,1)</f>
        <v>Magno</v>
      </c>
      <c r="H94" s="8" t="str">
        <f>_xlfn.XLOOKUP(B94,[1]!Tabela1[[Cidades ]],[1]!Tabela1[Gerente],0,0,1)</f>
        <v>Demais coordenadores</v>
      </c>
    </row>
    <row r="95" spans="1:8" x14ac:dyDescent="0.3">
      <c r="A95" s="9" t="s">
        <v>306</v>
      </c>
      <c r="B95" s="10" t="s">
        <v>72</v>
      </c>
      <c r="C95" s="11">
        <v>45833</v>
      </c>
      <c r="D95" s="12">
        <v>873823</v>
      </c>
      <c r="E95" s="5" t="str">
        <f>_xlfn.XLOOKUP(D95,[1]!Tabela24[Código consultor],[1]!Tabela24[Consultor Venda],0,0,1)</f>
        <v>PAR - COM - JCA - TECNOSERVI - ANA BEATRIZ DE JESUS SANTANA</v>
      </c>
      <c r="F95" s="5" t="str">
        <f>_xlfn.XLOOKUP(D95,[1]!Tabela24[Código consultor],[1]!Tabela24[Canal Consultor],0,0,1)</f>
        <v>PAR</v>
      </c>
      <c r="G95" s="10" t="str">
        <f>_xlfn.XLOOKUP(B95,[1]!Tabela1[[Cidades ]],[1]!Tabela1[Regional],0,0,1)</f>
        <v>Maycon</v>
      </c>
      <c r="H95" s="13" t="str">
        <f>_xlfn.XLOOKUP(B95,[1]!Tabela1[[Cidades ]],[1]!Tabela1[Gerente],0,0,1)</f>
        <v>Demais coordenadores</v>
      </c>
    </row>
    <row r="96" spans="1:8" x14ac:dyDescent="0.3">
      <c r="A96" s="4" t="s">
        <v>126</v>
      </c>
      <c r="B96" s="5" t="s">
        <v>10</v>
      </c>
      <c r="C96" s="6">
        <v>45833</v>
      </c>
      <c r="D96" s="7">
        <v>683349</v>
      </c>
      <c r="E96" s="5" t="str">
        <f>_xlfn.XLOOKUP(D96,[1]!Tabela24[Código consultor],[1]!Tabela24[Consultor Venda],0,0,1)</f>
        <v>DIG - CCO - EVELLIN SALOA MAIA DA CONCEICAO</v>
      </c>
      <c r="F96" s="5" t="str">
        <f>_xlfn.XLOOKUP(D96,[1]!Tabela24[Código consultor],[1]!Tabela24[Canal Consultor],0,0,1)</f>
        <v>DIGITAL</v>
      </c>
      <c r="G96" s="5" t="str">
        <f>_xlfn.XLOOKUP(B96,[1]!Tabela1[[Cidades ]],[1]!Tabela1[Regional],0,0,1)</f>
        <v>Jean</v>
      </c>
      <c r="H96" s="8" t="str">
        <f>_xlfn.XLOOKUP(B96,[1]!Tabela1[[Cidades ]],[1]!Tabela1[Gerente],0,0,1)</f>
        <v>Demais coordenadores</v>
      </c>
    </row>
    <row r="97" spans="1:8" x14ac:dyDescent="0.3">
      <c r="A97" s="9" t="s">
        <v>307</v>
      </c>
      <c r="B97" s="10" t="s">
        <v>31</v>
      </c>
      <c r="C97" s="11">
        <v>45833</v>
      </c>
      <c r="D97" s="12">
        <v>617463</v>
      </c>
      <c r="E97" s="5" t="str">
        <f>_xlfn.XLOOKUP(D97,[1]!Tabela24[Código consultor],[1]!Tabela24[Consultor Venda],0,0,1)</f>
        <v>DIG - CCO - ALEX AUGUSTO DA CRUZ RODRIGUES</v>
      </c>
      <c r="F97" s="5" t="str">
        <f>_xlfn.XLOOKUP(D97,[1]!Tabela24[Código consultor],[1]!Tabela24[Canal Consultor],0,0,1)</f>
        <v>DIGITAL</v>
      </c>
      <c r="G97" s="10" t="str">
        <f>_xlfn.XLOOKUP(B97,[1]!Tabela1[[Cidades ]],[1]!Tabela1[Regional],0,0,1)</f>
        <v>Maycon</v>
      </c>
      <c r="H97" s="13" t="str">
        <f>_xlfn.XLOOKUP(B97,[1]!Tabela1[[Cidades ]],[1]!Tabela1[Gerente],0,0,1)</f>
        <v>Demais coordenadores</v>
      </c>
    </row>
    <row r="98" spans="1:8" x14ac:dyDescent="0.3">
      <c r="A98" s="4" t="s">
        <v>133</v>
      </c>
      <c r="B98" s="5" t="s">
        <v>22</v>
      </c>
      <c r="C98" s="6">
        <v>45833</v>
      </c>
      <c r="D98" s="7">
        <v>822770</v>
      </c>
      <c r="E98" s="5" t="str">
        <f>_xlfn.XLOOKUP(D98,[1]!Tabela24[Código consultor],[1]!Tabela24[Consultor Venda],0,0,1)</f>
        <v>COM - SCR - VINICIUS ALCEMAR DA SILVA</v>
      </c>
      <c r="F98" s="5" t="str">
        <f>_xlfn.XLOOKUP(D98,[1]!Tabela24[Código consultor],[1]!Tabela24[Canal Consultor],0,0,1)</f>
        <v>Pap</v>
      </c>
      <c r="G98" s="5" t="str">
        <f>_xlfn.XLOOKUP(B98,[1]!Tabela1[[Cidades ]],[1]!Tabela1[Regional],0,0,1)</f>
        <v>Magno</v>
      </c>
      <c r="H98" s="8" t="str">
        <f>_xlfn.XLOOKUP(B98,[1]!Tabela1[[Cidades ]],[1]!Tabela1[Gerente],0,0,1)</f>
        <v>Demais coordenadores</v>
      </c>
    </row>
    <row r="99" spans="1:8" x14ac:dyDescent="0.3">
      <c r="A99" s="9" t="s">
        <v>144</v>
      </c>
      <c r="B99" s="10" t="s">
        <v>53</v>
      </c>
      <c r="C99" s="11">
        <v>45833</v>
      </c>
      <c r="D99" s="12">
        <v>623344</v>
      </c>
      <c r="E99" s="5" t="str">
        <f>_xlfn.XLOOKUP(D99,[1]!Tabela24[Código consultor],[1]!Tabela24[Consultor Venda],0,0,1)</f>
        <v>COM - DOS - EDUARDO ALVARENGA CARDOSO VIEIRA</v>
      </c>
      <c r="F99" s="5" t="str">
        <f>_xlfn.XLOOKUP(D99,[1]!Tabela24[Código consultor],[1]!Tabela24[Canal Consultor],0,0,1)</f>
        <v>Pap</v>
      </c>
      <c r="G99" s="10" t="str">
        <f>_xlfn.XLOOKUP(B99,[1]!Tabela1[[Cidades ]],[1]!Tabela1[Regional],0,0,1)</f>
        <v>Adilson</v>
      </c>
      <c r="H99" s="13" t="str">
        <f>_xlfn.XLOOKUP(B99,[1]!Tabela1[[Cidades ]],[1]!Tabela1[Gerente],0,0,1)</f>
        <v>Demais coordenadores</v>
      </c>
    </row>
    <row r="100" spans="1:8" x14ac:dyDescent="0.3">
      <c r="A100" s="4" t="s">
        <v>155</v>
      </c>
      <c r="B100" s="5" t="s">
        <v>72</v>
      </c>
      <c r="C100" s="6">
        <v>45833</v>
      </c>
      <c r="D100" s="7">
        <v>873823</v>
      </c>
      <c r="E100" s="5" t="str">
        <f>_xlfn.XLOOKUP(D100,[1]!Tabela24[Código consultor],[1]!Tabela24[Consultor Venda],0,0,1)</f>
        <v>PAR - COM - JCA - TECNOSERVI - ANA BEATRIZ DE JESUS SANTANA</v>
      </c>
      <c r="F100" s="5" t="str">
        <f>_xlfn.XLOOKUP(D100,[1]!Tabela24[Código consultor],[1]!Tabela24[Canal Consultor],0,0,1)</f>
        <v>PAR</v>
      </c>
      <c r="G100" s="5" t="str">
        <f>_xlfn.XLOOKUP(B100,[1]!Tabela1[[Cidades ]],[1]!Tabela1[Regional],0,0,1)</f>
        <v>Maycon</v>
      </c>
      <c r="H100" s="8" t="str">
        <f>_xlfn.XLOOKUP(B100,[1]!Tabela1[[Cidades ]],[1]!Tabela1[Gerente],0,0,1)</f>
        <v>Demais coordenadores</v>
      </c>
    </row>
    <row r="101" spans="1:8" x14ac:dyDescent="0.3">
      <c r="A101" s="9" t="s">
        <v>165</v>
      </c>
      <c r="B101" s="10" t="s">
        <v>50</v>
      </c>
      <c r="C101" s="11">
        <v>45833</v>
      </c>
      <c r="D101" s="12">
        <v>833948</v>
      </c>
      <c r="E101" s="5" t="str">
        <f>_xlfn.XLOOKUP(D101,[1]!Tabela24[Código consultor],[1]!Tabela24[Consultor Venda],0,0,1)</f>
        <v>COM - FNS - CRISTIANO CASTRO APARECIDO</v>
      </c>
      <c r="F101" s="5" t="str">
        <f>_xlfn.XLOOKUP(D101,[1]!Tabela24[Código consultor],[1]!Tabela24[Canal Consultor],0,0,1)</f>
        <v>Pap</v>
      </c>
      <c r="G101" s="10" t="str">
        <f>_xlfn.XLOOKUP(B101,[1]!Tabela1[[Cidades ]],[1]!Tabela1[Regional],0,0,1)</f>
        <v>Marcio</v>
      </c>
      <c r="H101" s="13" t="str">
        <f>_xlfn.XLOOKUP(B101,[1]!Tabela1[[Cidades ]],[1]!Tabela1[Gerente],0,0,1)</f>
        <v>Demais coordenadores</v>
      </c>
    </row>
    <row r="102" spans="1:8" x14ac:dyDescent="0.3">
      <c r="A102" s="4" t="s">
        <v>410</v>
      </c>
      <c r="B102" s="5" t="s">
        <v>12</v>
      </c>
      <c r="C102" s="6">
        <v>45833</v>
      </c>
      <c r="D102" s="7">
        <v>236724</v>
      </c>
      <c r="E102" s="5" t="str">
        <f>_xlfn.XLOOKUP(D102,[1]!Tabela24[Código consultor],[1]!Tabela24[Consultor Venda],0,0,1)</f>
        <v>COM - PGO - MAISE GABRIELLY BATISTA</v>
      </c>
      <c r="F102" s="5" t="str">
        <f>_xlfn.XLOOKUP(D102,[1]!Tabela24[Código consultor],[1]!Tabela24[Canal Consultor],0,0,1)</f>
        <v>INTERNO</v>
      </c>
      <c r="G102" s="5" t="str">
        <f>_xlfn.XLOOKUP(B102,[1]!Tabela1[[Cidades ]],[1]!Tabela1[Regional],0,0,1)</f>
        <v>Jean</v>
      </c>
      <c r="H102" s="8" t="str">
        <f>_xlfn.XLOOKUP(B102,[1]!Tabela1[[Cidades ]],[1]!Tabela1[Gerente],0,0,1)</f>
        <v>Demais coordenadores</v>
      </c>
    </row>
    <row r="103" spans="1:8" x14ac:dyDescent="0.3">
      <c r="A103" s="9" t="s">
        <v>308</v>
      </c>
      <c r="B103" s="10" t="s">
        <v>53</v>
      </c>
      <c r="C103" s="11">
        <v>45833</v>
      </c>
      <c r="D103" s="12">
        <v>862559</v>
      </c>
      <c r="E103" s="5" t="str">
        <f>_xlfn.XLOOKUP(D103,[1]!Tabela24[Código consultor],[1]!Tabela24[Consultor Venda],0,0,1)</f>
        <v>COM - DOS - EDUARDA DOS SANTOS LIRA FONTELES</v>
      </c>
      <c r="F103" s="5" t="str">
        <f>_xlfn.XLOOKUP(D103,[1]!Tabela24[Código consultor],[1]!Tabela24[Canal Consultor],0,0,1)</f>
        <v>Pap</v>
      </c>
      <c r="G103" s="10" t="str">
        <f>_xlfn.XLOOKUP(B103,[1]!Tabela1[[Cidades ]],[1]!Tabela1[Regional],0,0,1)</f>
        <v>Adilson</v>
      </c>
      <c r="H103" s="13" t="str">
        <f>_xlfn.XLOOKUP(B103,[1]!Tabela1[[Cidades ]],[1]!Tabela1[Gerente],0,0,1)</f>
        <v>Demais coordenadores</v>
      </c>
    </row>
    <row r="104" spans="1:8" x14ac:dyDescent="0.3">
      <c r="A104" s="4" t="s">
        <v>411</v>
      </c>
      <c r="B104" s="5" t="s">
        <v>11</v>
      </c>
      <c r="C104" s="6">
        <v>45833</v>
      </c>
      <c r="D104" s="7">
        <v>691859</v>
      </c>
      <c r="E104" s="5" t="str">
        <f>_xlfn.XLOOKUP(D104,[1]!Tabela24[Código consultor],[1]!Tabela24[Consultor Venda],0,0,1)</f>
        <v>COM - GTI - SERGIO GABRIEL GOMES NERVIS</v>
      </c>
      <c r="F104" s="5" t="str">
        <f>_xlfn.XLOOKUP(D104,[1]!Tabela24[Código consultor],[1]!Tabela24[Canal Consultor],0,0,1)</f>
        <v>Pap</v>
      </c>
      <c r="G104" s="5" t="str">
        <f>_xlfn.XLOOKUP(B104,[1]!Tabela1[[Cidades ]],[1]!Tabela1[Regional],0,0,1)</f>
        <v>Magno</v>
      </c>
      <c r="H104" s="8" t="str">
        <f>_xlfn.XLOOKUP(B104,[1]!Tabela1[[Cidades ]],[1]!Tabela1[Gerente],0,0,1)</f>
        <v>Demais coordenadores</v>
      </c>
    </row>
    <row r="105" spans="1:8" x14ac:dyDescent="0.3">
      <c r="A105" s="9" t="s">
        <v>235</v>
      </c>
      <c r="B105" s="10" t="s">
        <v>13</v>
      </c>
      <c r="C105" s="11">
        <v>45833</v>
      </c>
      <c r="D105" s="12">
        <v>165769</v>
      </c>
      <c r="E105" s="5" t="str">
        <f>_xlfn.XLOOKUP(D105,[1]!Tabela24[Código consultor],[1]!Tabela24[Consultor Venda],0,0,1)</f>
        <v>PAR - PAP - GTI - THALIA SP - THALIA DA SILVA PEREIRA</v>
      </c>
      <c r="F105" s="5" t="str">
        <f>_xlfn.XLOOKUP(D105,[1]!Tabela24[Código consultor],[1]!Tabela24[Canal Consultor],0,0,1)</f>
        <v>PAR</v>
      </c>
      <c r="G105" s="10" t="str">
        <f>_xlfn.XLOOKUP(B105,[1]!Tabela1[[Cidades ]],[1]!Tabela1[Regional],0,0,1)</f>
        <v>Alisson</v>
      </c>
      <c r="H105" s="13" t="str">
        <f>_xlfn.XLOOKUP(B105,[1]!Tabela1[[Cidades ]],[1]!Tabela1[Gerente],0,0,1)</f>
        <v>Ariana</v>
      </c>
    </row>
    <row r="106" spans="1:8" x14ac:dyDescent="0.3">
      <c r="A106" s="4" t="s">
        <v>239</v>
      </c>
      <c r="B106" s="5" t="s">
        <v>19</v>
      </c>
      <c r="C106" s="6">
        <v>45833</v>
      </c>
      <c r="D106" s="7">
        <v>617463</v>
      </c>
      <c r="E106" s="5" t="str">
        <f>_xlfn.XLOOKUP(D106,[1]!Tabela24[Código consultor],[1]!Tabela24[Consultor Venda],0,0,1)</f>
        <v>DIG - CCO - ALEX AUGUSTO DA CRUZ RODRIGUES</v>
      </c>
      <c r="F106" s="5" t="str">
        <f>_xlfn.XLOOKUP(D106,[1]!Tabela24[Código consultor],[1]!Tabela24[Canal Consultor],0,0,1)</f>
        <v>DIGITAL</v>
      </c>
      <c r="G106" s="5" t="str">
        <f>_xlfn.XLOOKUP(B106,[1]!Tabela1[[Cidades ]],[1]!Tabela1[Regional],0,0,1)</f>
        <v>Magno</v>
      </c>
      <c r="H106" s="8" t="str">
        <f>_xlfn.XLOOKUP(B106,[1]!Tabela1[[Cidades ]],[1]!Tabela1[Gerente],0,0,1)</f>
        <v>Demais coordenadores</v>
      </c>
    </row>
    <row r="107" spans="1:8" x14ac:dyDescent="0.3">
      <c r="A107" s="9" t="s">
        <v>412</v>
      </c>
      <c r="B107" s="10" t="s">
        <v>60</v>
      </c>
      <c r="C107" s="11">
        <v>45833</v>
      </c>
      <c r="D107" s="12">
        <v>822704</v>
      </c>
      <c r="E107" s="5" t="str">
        <f>_xlfn.XLOOKUP(D107,[1]!Tabela24[Código consultor],[1]!Tabela24[Consultor Venda],0,0,1)</f>
        <v>PAR - PAP - V S MONTEIRO - VINICIUS SILVA MONTEIRO</v>
      </c>
      <c r="F107" s="5" t="str">
        <f>_xlfn.XLOOKUP(D107,[1]!Tabela24[Código consultor],[1]!Tabela24[Canal Consultor],0,0,1)</f>
        <v>PAR</v>
      </c>
      <c r="G107" s="10" t="str">
        <f>_xlfn.XLOOKUP(B107,[1]!Tabela1[[Cidades ]],[1]!Tabela1[Regional],0,0,1)</f>
        <v>Magno</v>
      </c>
      <c r="H107" s="13" t="str">
        <f>_xlfn.XLOOKUP(B107,[1]!Tabela1[[Cidades ]],[1]!Tabela1[Gerente],0,0,1)</f>
        <v>Demais coordenadores</v>
      </c>
    </row>
    <row r="108" spans="1:8" x14ac:dyDescent="0.3">
      <c r="A108" s="4" t="s">
        <v>254</v>
      </c>
      <c r="B108" s="5" t="s">
        <v>19</v>
      </c>
      <c r="C108" s="6">
        <v>45833</v>
      </c>
      <c r="D108" s="7">
        <v>882296</v>
      </c>
      <c r="E108" s="5" t="str">
        <f>_xlfn.XLOOKUP(D108,[1]!Tabela24[Código consultor],[1]!Tabela24[Consultor Venda],0,0,1)</f>
        <v>COM - CHN - ANIBAL DE SOUZA NETO</v>
      </c>
      <c r="F108" s="5" t="str">
        <f>_xlfn.XLOOKUP(D108,[1]!Tabela24[Código consultor],[1]!Tabela24[Canal Consultor],0,0,1)</f>
        <v>Pap</v>
      </c>
      <c r="G108" s="5" t="str">
        <f>_xlfn.XLOOKUP(B108,[1]!Tabela1[[Cidades ]],[1]!Tabela1[Regional],0,0,1)</f>
        <v>Magno</v>
      </c>
      <c r="H108" s="8" t="str">
        <f>_xlfn.XLOOKUP(B108,[1]!Tabela1[[Cidades ]],[1]!Tabela1[Gerente],0,0,1)</f>
        <v>Demais coordenadores</v>
      </c>
    </row>
    <row r="109" spans="1:8" x14ac:dyDescent="0.3">
      <c r="A109" s="9" t="s">
        <v>413</v>
      </c>
      <c r="B109" s="10" t="s">
        <v>24</v>
      </c>
      <c r="C109" s="11">
        <v>45833</v>
      </c>
      <c r="D109" s="12">
        <v>788656</v>
      </c>
      <c r="E109" s="5" t="str">
        <f>_xlfn.XLOOKUP(D109,[1]!Tabela24[Código consultor],[1]!Tabela24[Consultor Venda],0,0,1)</f>
        <v>PAR - STB - PAP - JOY TELECOM - GABRIELA ALVES DE GODOY</v>
      </c>
      <c r="F109" s="5" t="str">
        <f>_xlfn.XLOOKUP(D109,[1]!Tabela24[Código consultor],[1]!Tabela24[Canal Consultor],0,0,1)</f>
        <v>PAR_DIG</v>
      </c>
      <c r="G109" s="10" t="str">
        <f>_xlfn.XLOOKUP(B109,[1]!Tabela1[[Cidades ]],[1]!Tabela1[Regional],0,0,1)</f>
        <v>Magno</v>
      </c>
      <c r="H109" s="13" t="str">
        <f>_xlfn.XLOOKUP(B109,[1]!Tabela1[[Cidades ]],[1]!Tabela1[Gerente],0,0,1)</f>
        <v>Demais coordenadores</v>
      </c>
    </row>
    <row r="110" spans="1:8" x14ac:dyDescent="0.3">
      <c r="A110" s="4" t="s">
        <v>255</v>
      </c>
      <c r="B110" s="5" t="s">
        <v>128</v>
      </c>
      <c r="C110" s="6">
        <v>45833</v>
      </c>
      <c r="D110" s="7">
        <v>213687</v>
      </c>
      <c r="E110" s="5" t="str">
        <f>_xlfn.XLOOKUP(D110,[1]!Tabela24[Código consultor],[1]!Tabela24[Consultor Venda],0,0,1)</f>
        <v>COM - ERE - GABRIELE FERREIRA FORTUNATO</v>
      </c>
      <c r="F110" s="5" t="str">
        <f>_xlfn.XLOOKUP(D110,[1]!Tabela24[Código consultor],[1]!Tabela24[Canal Consultor],0,0,1)</f>
        <v>INTERNO</v>
      </c>
      <c r="G110" s="5" t="str">
        <f>_xlfn.XLOOKUP(B110,[1]!Tabela1[[Cidades ]],[1]!Tabela1[Regional],0,0,1)</f>
        <v>Alisson</v>
      </c>
      <c r="H110" s="8" t="str">
        <f>_xlfn.XLOOKUP(B110,[1]!Tabela1[[Cidades ]],[1]!Tabela1[Gerente],0,0,1)</f>
        <v>Ariana</v>
      </c>
    </row>
    <row r="111" spans="1:8" x14ac:dyDescent="0.3">
      <c r="A111" s="9" t="s">
        <v>414</v>
      </c>
      <c r="B111" s="10" t="s">
        <v>12</v>
      </c>
      <c r="C111" s="11">
        <v>45833</v>
      </c>
      <c r="D111" s="12">
        <v>788656</v>
      </c>
      <c r="E111" s="5" t="str">
        <f>_xlfn.XLOOKUP(D111,[1]!Tabela24[Código consultor],[1]!Tabela24[Consultor Venda],0,0,1)</f>
        <v>PAR - STB - PAP - JOY TELECOM - GABRIELA ALVES DE GODOY</v>
      </c>
      <c r="F111" s="5" t="str">
        <f>_xlfn.XLOOKUP(D111,[1]!Tabela24[Código consultor],[1]!Tabela24[Canal Consultor],0,0,1)</f>
        <v>PAR_DIG</v>
      </c>
      <c r="G111" s="10" t="str">
        <f>_xlfn.XLOOKUP(B111,[1]!Tabela1[[Cidades ]],[1]!Tabela1[Regional],0,0,1)</f>
        <v>Jean</v>
      </c>
      <c r="H111" s="13" t="str">
        <f>_xlfn.XLOOKUP(B111,[1]!Tabela1[[Cidades ]],[1]!Tabela1[Gerente],0,0,1)</f>
        <v>Demais coordenadores</v>
      </c>
    </row>
    <row r="112" spans="1:8" x14ac:dyDescent="0.3">
      <c r="A112" s="4" t="s">
        <v>415</v>
      </c>
      <c r="B112" s="5" t="s">
        <v>60</v>
      </c>
      <c r="C112" s="6">
        <v>45833</v>
      </c>
      <c r="D112" s="7">
        <v>233138</v>
      </c>
      <c r="E112" s="5" t="str">
        <f>_xlfn.XLOOKUP(D112,[1]!Tabela24[Código consultor],[1]!Tabela24[Consultor Venda],0,0,1)</f>
        <v>PAR - INTE - GRP - MOBILE HD - ALINE KARNOSKI</v>
      </c>
      <c r="F112" s="5" t="str">
        <f>_xlfn.XLOOKUP(D112,[1]!Tabela24[Código consultor],[1]!Tabela24[Canal Consultor],0,0,1)</f>
        <v>PAR</v>
      </c>
      <c r="G112" s="5" t="str">
        <f>_xlfn.XLOOKUP(B112,[1]!Tabela1[[Cidades ]],[1]!Tabela1[Regional],0,0,1)</f>
        <v>Magno</v>
      </c>
      <c r="H112" s="8" t="str">
        <f>_xlfn.XLOOKUP(B112,[1]!Tabela1[[Cidades ]],[1]!Tabela1[Gerente],0,0,1)</f>
        <v>Demais coordenadores</v>
      </c>
    </row>
    <row r="113" spans="1:8" x14ac:dyDescent="0.3">
      <c r="A113" s="9" t="s">
        <v>310</v>
      </c>
      <c r="B113" s="10" t="s">
        <v>24</v>
      </c>
      <c r="C113" s="11">
        <v>45833</v>
      </c>
      <c r="D113" s="12">
        <v>876183</v>
      </c>
      <c r="E113" s="5" t="str">
        <f>_xlfn.XLOOKUP(D113,[1]!Tabela24[Código consultor],[1]!Tabela24[Consultor Venda],0,0,1)</f>
        <v>COM - SMA - ANDRE DA SILVA DOS SANTOS</v>
      </c>
      <c r="F113" s="5" t="str">
        <f>_xlfn.XLOOKUP(D113,[1]!Tabela24[Código consultor],[1]!Tabela24[Canal Consultor],0,0,1)</f>
        <v>Pap</v>
      </c>
      <c r="G113" s="10" t="str">
        <f>_xlfn.XLOOKUP(B113,[1]!Tabela1[[Cidades ]],[1]!Tabela1[Regional],0,0,1)</f>
        <v>Magno</v>
      </c>
      <c r="H113" s="13" t="str">
        <f>_xlfn.XLOOKUP(B113,[1]!Tabela1[[Cidades ]],[1]!Tabela1[Gerente],0,0,1)</f>
        <v>Demais coordenadores</v>
      </c>
    </row>
    <row r="114" spans="1:8" x14ac:dyDescent="0.3">
      <c r="A114" s="4" t="s">
        <v>261</v>
      </c>
      <c r="B114" s="5" t="s">
        <v>39</v>
      </c>
      <c r="C114" s="6">
        <v>45833</v>
      </c>
      <c r="D114" s="7">
        <v>36923</v>
      </c>
      <c r="E114" s="5" t="str">
        <f>_xlfn.XLOOKUP(D114,[1]!Tabela24[Código consultor],[1]!Tabela24[Consultor Venda],0,0,1)</f>
        <v>COM - LGS - NATASHA VAIOLES MENDONCA</v>
      </c>
      <c r="F114" s="5" t="str">
        <f>_xlfn.XLOOKUP(D114,[1]!Tabela24[Código consultor],[1]!Tabela24[Canal Consultor],0,0,1)</f>
        <v>Pap</v>
      </c>
      <c r="G114" s="5" t="str">
        <f>_xlfn.XLOOKUP(B114,[1]!Tabela1[[Cidades ]],[1]!Tabela1[Regional],0,0,1)</f>
        <v>Marcio</v>
      </c>
      <c r="H114" s="8" t="str">
        <f>_xlfn.XLOOKUP(B114,[1]!Tabela1[[Cidades ]],[1]!Tabela1[Gerente],0,0,1)</f>
        <v>Demais coordenadores</v>
      </c>
    </row>
    <row r="115" spans="1:8" x14ac:dyDescent="0.3">
      <c r="A115" s="9" t="s">
        <v>311</v>
      </c>
      <c r="B115" s="10" t="s">
        <v>14</v>
      </c>
      <c r="C115" s="11">
        <v>45833</v>
      </c>
      <c r="D115" s="12">
        <v>600710</v>
      </c>
      <c r="E115" s="5" t="str">
        <f>_xlfn.XLOOKUP(D115,[1]!Tabela24[Código consultor],[1]!Tabela24[Consultor Venda],0,0,1)</f>
        <v>DIG - CCO - BRUNA BALBINOTTI</v>
      </c>
      <c r="F115" s="5" t="str">
        <f>_xlfn.XLOOKUP(D115,[1]!Tabela24[Código consultor],[1]!Tabela24[Canal Consultor],0,0,1)</f>
        <v>DIGITAL</v>
      </c>
      <c r="G115" s="10" t="str">
        <f>_xlfn.XLOOKUP(B115,[1]!Tabela1[[Cidades ]],[1]!Tabela1[Regional],0,0,1)</f>
        <v>Maycon</v>
      </c>
      <c r="H115" s="13" t="str">
        <f>_xlfn.XLOOKUP(B115,[1]!Tabela1[[Cidades ]],[1]!Tabela1[Gerente],0,0,1)</f>
        <v>Demais coordenadores</v>
      </c>
    </row>
    <row r="116" spans="1:8" x14ac:dyDescent="0.3">
      <c r="A116" s="4" t="s">
        <v>262</v>
      </c>
      <c r="B116" s="5" t="s">
        <v>31</v>
      </c>
      <c r="C116" s="6">
        <v>45833</v>
      </c>
      <c r="D116" s="7">
        <v>255780</v>
      </c>
      <c r="E116" s="5" t="str">
        <f>_xlfn.XLOOKUP(D116,[1]!Tabela24[Código consultor],[1]!Tabela24[Consultor Venda],0,0,1)</f>
        <v>COM - PZO - MAIKELI CRISTINA MANFRIN</v>
      </c>
      <c r="F116" s="5" t="str">
        <f>_xlfn.XLOOKUP(D116,[1]!Tabela24[Código consultor],[1]!Tabela24[Canal Consultor],0,0,1)</f>
        <v>INTERNO</v>
      </c>
      <c r="G116" s="5" t="str">
        <f>_xlfn.XLOOKUP(B116,[1]!Tabela1[[Cidades ]],[1]!Tabela1[Regional],0,0,1)</f>
        <v>Maycon</v>
      </c>
      <c r="H116" s="8" t="str">
        <f>_xlfn.XLOOKUP(B116,[1]!Tabela1[[Cidades ]],[1]!Tabela1[Gerente],0,0,1)</f>
        <v>Demais coordenadores</v>
      </c>
    </row>
    <row r="117" spans="1:8" x14ac:dyDescent="0.3">
      <c r="A117" s="9" t="s">
        <v>312</v>
      </c>
      <c r="B117" s="10" t="s">
        <v>92</v>
      </c>
      <c r="C117" s="11">
        <v>45833</v>
      </c>
      <c r="D117" s="12">
        <v>77299</v>
      </c>
      <c r="E117" s="5" t="str">
        <f>_xlfn.XLOOKUP(D117,[1]!Tabela24[Código consultor],[1]!Tabela24[Consultor Venda],0,0,1)</f>
        <v>PAR - INTE - CDA - GND INFORMATICA - IDEMAR RUBERT</v>
      </c>
      <c r="F117" s="5" t="str">
        <f>_xlfn.XLOOKUP(D117,[1]!Tabela24[Código consultor],[1]!Tabela24[Canal Consultor],0,0,1)</f>
        <v>PAR</v>
      </c>
      <c r="G117" s="10" t="str">
        <f>_xlfn.XLOOKUP(B117,[1]!Tabela1[[Cidades ]],[1]!Tabela1[Regional],0,0,1)</f>
        <v>Maycon</v>
      </c>
      <c r="H117" s="13" t="str">
        <f>_xlfn.XLOOKUP(B117,[1]!Tabela1[[Cidades ]],[1]!Tabela1[Gerente],0,0,1)</f>
        <v>Demais coordenadores</v>
      </c>
    </row>
    <row r="118" spans="1:8" x14ac:dyDescent="0.3">
      <c r="A118" s="4" t="s">
        <v>416</v>
      </c>
      <c r="B118" s="5" t="s">
        <v>60</v>
      </c>
      <c r="C118" s="6">
        <v>45833</v>
      </c>
      <c r="D118" s="7">
        <v>788656</v>
      </c>
      <c r="E118" s="5" t="str">
        <f>_xlfn.XLOOKUP(D118,[1]!Tabela24[Código consultor],[1]!Tabela24[Consultor Venda],0,0,1)</f>
        <v>PAR - STB - PAP - JOY TELECOM - GABRIELA ALVES DE GODOY</v>
      </c>
      <c r="F118" s="5" t="str">
        <f>_xlfn.XLOOKUP(D118,[1]!Tabela24[Código consultor],[1]!Tabela24[Canal Consultor],0,0,1)</f>
        <v>PAR_DIG</v>
      </c>
      <c r="G118" s="5" t="str">
        <f>_xlfn.XLOOKUP(B118,[1]!Tabela1[[Cidades ]],[1]!Tabela1[Regional],0,0,1)</f>
        <v>Magno</v>
      </c>
      <c r="H118" s="8" t="str">
        <f>_xlfn.XLOOKUP(B118,[1]!Tabela1[[Cidades ]],[1]!Tabela1[Gerente],0,0,1)</f>
        <v>Demais coordenadores</v>
      </c>
    </row>
    <row r="119" spans="1:8" x14ac:dyDescent="0.3">
      <c r="A119" s="9" t="s">
        <v>277</v>
      </c>
      <c r="B119" s="10" t="s">
        <v>66</v>
      </c>
      <c r="C119" s="11">
        <v>45833</v>
      </c>
      <c r="D119" s="12">
        <v>833948</v>
      </c>
      <c r="E119" s="5" t="str">
        <f>_xlfn.XLOOKUP(D119,[1]!Tabela24[Código consultor],[1]!Tabela24[Consultor Venda],0,0,1)</f>
        <v>COM - FNS - CRISTIANO CASTRO APARECIDO</v>
      </c>
      <c r="F119" s="5" t="str">
        <f>_xlfn.XLOOKUP(D119,[1]!Tabela24[Código consultor],[1]!Tabela24[Canal Consultor],0,0,1)</f>
        <v>Pap</v>
      </c>
      <c r="G119" s="10" t="str">
        <f>_xlfn.XLOOKUP(B119,[1]!Tabela1[[Cidades ]],[1]!Tabela1[Regional],0,0,1)</f>
        <v>Marcio</v>
      </c>
      <c r="H119" s="13" t="str">
        <f>_xlfn.XLOOKUP(B119,[1]!Tabela1[[Cidades ]],[1]!Tabela1[Gerente],0,0,1)</f>
        <v>Demais coordenadores</v>
      </c>
    </row>
    <row r="120" spans="1:8" x14ac:dyDescent="0.3">
      <c r="A120" s="4" t="s">
        <v>417</v>
      </c>
      <c r="B120" s="5" t="s">
        <v>11</v>
      </c>
      <c r="C120" s="6">
        <v>45833</v>
      </c>
      <c r="D120" s="7">
        <v>788656</v>
      </c>
      <c r="E120" s="5" t="str">
        <f>_xlfn.XLOOKUP(D120,[1]!Tabela24[Código consultor],[1]!Tabela24[Consultor Venda],0,0,1)</f>
        <v>PAR - STB - PAP - JOY TELECOM - GABRIELA ALVES DE GODOY</v>
      </c>
      <c r="F120" s="5" t="str">
        <f>_xlfn.XLOOKUP(D120,[1]!Tabela24[Código consultor],[1]!Tabela24[Canal Consultor],0,0,1)</f>
        <v>PAR_DIG</v>
      </c>
      <c r="G120" s="5" t="str">
        <f>_xlfn.XLOOKUP(B120,[1]!Tabela1[[Cidades ]],[1]!Tabela1[Regional],0,0,1)</f>
        <v>Magno</v>
      </c>
      <c r="H120" s="8" t="str">
        <f>_xlfn.XLOOKUP(B120,[1]!Tabela1[[Cidades ]],[1]!Tabela1[Gerente],0,0,1)</f>
        <v>Demais coordenadores</v>
      </c>
    </row>
    <row r="121" spans="1:8" x14ac:dyDescent="0.3">
      <c r="A121" s="9" t="s">
        <v>418</v>
      </c>
      <c r="B121" s="10" t="s">
        <v>18</v>
      </c>
      <c r="C121" s="11">
        <v>45833</v>
      </c>
      <c r="D121" s="12">
        <v>875515</v>
      </c>
      <c r="E121" s="5" t="str">
        <f>_xlfn.XLOOKUP(D121,[1]!Tabela24[Código consultor],[1]!Tabela24[Consultor Venda],0,0,1)</f>
        <v>COM - MVH - LUCIANE FRANCIELI PEDROZO</v>
      </c>
      <c r="F121" s="5" t="str">
        <f>_xlfn.XLOOKUP(D121,[1]!Tabela24[Código consultor],[1]!Tabela24[Canal Consultor],0,0,1)</f>
        <v>INTERNO</v>
      </c>
      <c r="G121" s="10" t="str">
        <f>_xlfn.XLOOKUP(B121,[1]!Tabela1[[Cidades ]],[1]!Tabela1[Regional],0,0,1)</f>
        <v>Maycon</v>
      </c>
      <c r="H121" s="13" t="str">
        <f>_xlfn.XLOOKUP(B121,[1]!Tabela1[[Cidades ]],[1]!Tabela1[Gerente],0,0,1)</f>
        <v>Demais coordenadores</v>
      </c>
    </row>
    <row r="122" spans="1:8" x14ac:dyDescent="0.3">
      <c r="A122" s="4" t="s">
        <v>419</v>
      </c>
      <c r="B122" s="5" t="s">
        <v>16</v>
      </c>
      <c r="C122" s="6">
        <v>45833</v>
      </c>
      <c r="D122" s="7">
        <v>794227</v>
      </c>
      <c r="E122" s="5" t="str">
        <f>_xlfn.XLOOKUP(D122,[1]!Tabela24[Código consultor],[1]!Tabela24[Consultor Venda],0,0,1)</f>
        <v>PAR - PAP - TECH PERFORMANCE - Dario de Oliveira</v>
      </c>
      <c r="F122" s="5" t="str">
        <f>_xlfn.XLOOKUP(D122,[1]!Tabela24[Código consultor],[1]!Tabela24[Canal Consultor],0,0,1)</f>
        <v>Par</v>
      </c>
      <c r="G122" s="5" t="str">
        <f>_xlfn.XLOOKUP(B122,[1]!Tabela1[[Cidades ]],[1]!Tabela1[Regional],0,0,1)</f>
        <v>Magno</v>
      </c>
      <c r="H122" s="8" t="str">
        <f>_xlfn.XLOOKUP(B122,[1]!Tabela1[[Cidades ]],[1]!Tabela1[Gerente],0,0,1)</f>
        <v>Demais coordenadores</v>
      </c>
    </row>
    <row r="123" spans="1:8" x14ac:dyDescent="0.3">
      <c r="A123" s="9" t="s">
        <v>420</v>
      </c>
      <c r="B123" s="10" t="s">
        <v>21</v>
      </c>
      <c r="C123" s="11">
        <v>45833</v>
      </c>
      <c r="D123" s="12">
        <v>788656</v>
      </c>
      <c r="E123" s="5" t="str">
        <f>_xlfn.XLOOKUP(D123,[1]!Tabela24[Código consultor],[1]!Tabela24[Consultor Venda],0,0,1)</f>
        <v>PAR - STB - PAP - JOY TELECOM - GABRIELA ALVES DE GODOY</v>
      </c>
      <c r="F123" s="5" t="str">
        <f>_xlfn.XLOOKUP(D123,[1]!Tabela24[Código consultor],[1]!Tabela24[Canal Consultor],0,0,1)</f>
        <v>PAR_DIG</v>
      </c>
      <c r="G123" s="10" t="str">
        <f>_xlfn.XLOOKUP(B123,[1]!Tabela1[[Cidades ]],[1]!Tabela1[Regional],0,0,1)</f>
        <v>Maycon</v>
      </c>
      <c r="H123" s="13" t="str">
        <f>_xlfn.XLOOKUP(B123,[1]!Tabela1[[Cidades ]],[1]!Tabela1[Gerente],0,0,1)</f>
        <v>Demais coordenadores</v>
      </c>
    </row>
    <row r="124" spans="1:8" x14ac:dyDescent="0.3">
      <c r="A124" s="4" t="s">
        <v>315</v>
      </c>
      <c r="B124" s="5" t="s">
        <v>11</v>
      </c>
      <c r="C124" s="6">
        <v>45833</v>
      </c>
      <c r="D124" s="7">
        <v>233138</v>
      </c>
      <c r="E124" s="5" t="str">
        <f>_xlfn.XLOOKUP(D124,[1]!Tabela24[Código consultor],[1]!Tabela24[Consultor Venda],0,0,1)</f>
        <v>PAR - INTE - GRP - MOBILE HD - ALINE KARNOSKI</v>
      </c>
      <c r="F124" s="5" t="str">
        <f>_xlfn.XLOOKUP(D124,[1]!Tabela24[Código consultor],[1]!Tabela24[Canal Consultor],0,0,1)</f>
        <v>PAR</v>
      </c>
      <c r="G124" s="5" t="str">
        <f>_xlfn.XLOOKUP(B124,[1]!Tabela1[[Cidades ]],[1]!Tabela1[Regional],0,0,1)</f>
        <v>Magno</v>
      </c>
      <c r="H124" s="8" t="str">
        <f>_xlfn.XLOOKUP(B124,[1]!Tabela1[[Cidades ]],[1]!Tabela1[Gerente],0,0,1)</f>
        <v>Demais coordenadores</v>
      </c>
    </row>
    <row r="125" spans="1:8" x14ac:dyDescent="0.3">
      <c r="A125" s="9" t="s">
        <v>421</v>
      </c>
      <c r="B125" s="10" t="s">
        <v>24</v>
      </c>
      <c r="C125" s="11">
        <v>45833</v>
      </c>
      <c r="D125" s="12">
        <v>233138</v>
      </c>
      <c r="E125" s="5" t="str">
        <f>_xlfn.XLOOKUP(D125,[1]!Tabela24[Código consultor],[1]!Tabela24[Consultor Venda],0,0,1)</f>
        <v>PAR - INTE - GRP - MOBILE HD - ALINE KARNOSKI</v>
      </c>
      <c r="F125" s="5" t="str">
        <f>_xlfn.XLOOKUP(D125,[1]!Tabela24[Código consultor],[1]!Tabela24[Canal Consultor],0,0,1)</f>
        <v>PAR</v>
      </c>
      <c r="G125" s="10" t="str">
        <f>_xlfn.XLOOKUP(B125,[1]!Tabela1[[Cidades ]],[1]!Tabela1[Regional],0,0,1)</f>
        <v>Magno</v>
      </c>
      <c r="H125" s="13" t="str">
        <f>_xlfn.XLOOKUP(B125,[1]!Tabela1[[Cidades ]],[1]!Tabela1[Gerente],0,0,1)</f>
        <v>Demais coordenadores</v>
      </c>
    </row>
    <row r="126" spans="1:8" x14ac:dyDescent="0.3">
      <c r="A126" s="4" t="s">
        <v>422</v>
      </c>
      <c r="B126" s="5" t="s">
        <v>15</v>
      </c>
      <c r="C126" s="6">
        <v>45833</v>
      </c>
      <c r="D126" s="7">
        <v>694166</v>
      </c>
      <c r="E126" s="5" t="str">
        <f>_xlfn.XLOOKUP(D126,[1]!Tabela24[Código consultor],[1]!Tabela24[Consultor Venda],0,0,1)</f>
        <v>DIG - CCO - CARINE CORREA SOARES</v>
      </c>
      <c r="F126" s="5" t="str">
        <f>_xlfn.XLOOKUP(D126,[1]!Tabela24[Código consultor],[1]!Tabela24[Canal Consultor],0,0,1)</f>
        <v>DIGITAL</v>
      </c>
      <c r="G126" s="5" t="str">
        <f>_xlfn.XLOOKUP(B126,[1]!Tabela1[[Cidades ]],[1]!Tabela1[Regional],0,0,1)</f>
        <v>Marcio</v>
      </c>
      <c r="H126" s="8" t="str">
        <f>_xlfn.XLOOKUP(B126,[1]!Tabela1[[Cidades ]],[1]!Tabela1[Gerente],0,0,1)</f>
        <v>Demais coordenadores</v>
      </c>
    </row>
    <row r="127" spans="1:8" x14ac:dyDescent="0.3">
      <c r="A127" s="9" t="s">
        <v>423</v>
      </c>
      <c r="B127" s="10" t="s">
        <v>24</v>
      </c>
      <c r="C127" s="11">
        <v>45833</v>
      </c>
      <c r="D127" s="12">
        <v>608355</v>
      </c>
      <c r="E127" s="5" t="str">
        <f>_xlfn.XLOOKUP(D127,[1]!Tabela24[Código consultor],[1]!Tabela24[Consultor Venda],0,0,1)</f>
        <v>COM - SMA - JANAINA SEBBEN DOS SANTOS</v>
      </c>
      <c r="F127" s="5" t="str">
        <f>_xlfn.XLOOKUP(D127,[1]!Tabela24[Código consultor],[1]!Tabela24[Canal Consultor],0,0,1)</f>
        <v>INTERNO</v>
      </c>
      <c r="G127" s="10" t="str">
        <f>_xlfn.XLOOKUP(B127,[1]!Tabela1[[Cidades ]],[1]!Tabela1[Regional],0,0,1)</f>
        <v>Magno</v>
      </c>
      <c r="H127" s="13" t="str">
        <f>_xlfn.XLOOKUP(B127,[1]!Tabela1[[Cidades ]],[1]!Tabela1[Gerente],0,0,1)</f>
        <v>Demais coordenadores</v>
      </c>
    </row>
    <row r="128" spans="1:8" x14ac:dyDescent="0.3">
      <c r="A128" s="4" t="s">
        <v>424</v>
      </c>
      <c r="B128" s="5" t="s">
        <v>50</v>
      </c>
      <c r="C128" s="6">
        <v>45833</v>
      </c>
      <c r="D128" s="7">
        <v>870740</v>
      </c>
      <c r="E128" s="5" t="str">
        <f>_xlfn.XLOOKUP(D128,[1]!Tabela24[Código consultor],[1]!Tabela24[Consultor Venda],0,0,1)</f>
        <v>COM - FNS - VINICIUS DE SOUZA NUNES</v>
      </c>
      <c r="F128" s="5" t="str">
        <f>_xlfn.XLOOKUP(D128,[1]!Tabela24[Código consultor],[1]!Tabela24[Canal Consultor],0,0,1)</f>
        <v>INTERNO</v>
      </c>
      <c r="G128" s="5" t="str">
        <f>_xlfn.XLOOKUP(B128,[1]!Tabela1[[Cidades ]],[1]!Tabela1[Regional],0,0,1)</f>
        <v>Marcio</v>
      </c>
      <c r="H128" s="8" t="str">
        <f>_xlfn.XLOOKUP(B128,[1]!Tabela1[[Cidades ]],[1]!Tabela1[Gerente],0,0,1)</f>
        <v>Demais coordenadores</v>
      </c>
    </row>
    <row r="129" spans="1:8" x14ac:dyDescent="0.3">
      <c r="A129" s="9" t="s">
        <v>316</v>
      </c>
      <c r="B129" s="10" t="s">
        <v>107</v>
      </c>
      <c r="C129" s="11">
        <v>45833</v>
      </c>
      <c r="D129" s="12">
        <v>833948</v>
      </c>
      <c r="E129" s="5" t="str">
        <f>_xlfn.XLOOKUP(D129,[1]!Tabela24[Código consultor],[1]!Tabela24[Consultor Venda],0,0,1)</f>
        <v>COM - FNS - CRISTIANO CASTRO APARECIDO</v>
      </c>
      <c r="F129" s="5" t="str">
        <f>_xlfn.XLOOKUP(D129,[1]!Tabela24[Código consultor],[1]!Tabela24[Canal Consultor],0,0,1)</f>
        <v>Pap</v>
      </c>
      <c r="G129" s="10" t="str">
        <f>_xlfn.XLOOKUP(B129,[1]!Tabela1[[Cidades ]],[1]!Tabela1[Regional],0,0,1)</f>
        <v>Marcio</v>
      </c>
      <c r="H129" s="13" t="str">
        <f>_xlfn.XLOOKUP(B129,[1]!Tabela1[[Cidades ]],[1]!Tabela1[Gerente],0,0,1)</f>
        <v>Demais coordenadores</v>
      </c>
    </row>
    <row r="130" spans="1:8" x14ac:dyDescent="0.3">
      <c r="A130" s="4" t="s">
        <v>425</v>
      </c>
      <c r="B130" s="5" t="s">
        <v>10</v>
      </c>
      <c r="C130" s="6">
        <v>45833</v>
      </c>
      <c r="D130" s="7">
        <v>233138</v>
      </c>
      <c r="E130" s="5" t="str">
        <f>_xlfn.XLOOKUP(D130,[1]!Tabela24[Código consultor],[1]!Tabela24[Consultor Venda],0,0,1)</f>
        <v>PAR - INTE - GRP - MOBILE HD - ALINE KARNOSKI</v>
      </c>
      <c r="F130" s="5" t="str">
        <f>_xlfn.XLOOKUP(D130,[1]!Tabela24[Código consultor],[1]!Tabela24[Canal Consultor],0,0,1)</f>
        <v>PAR</v>
      </c>
      <c r="G130" s="5" t="str">
        <f>_xlfn.XLOOKUP(B130,[1]!Tabela1[[Cidades ]],[1]!Tabela1[Regional],0,0,1)</f>
        <v>Jean</v>
      </c>
      <c r="H130" s="8" t="str">
        <f>_xlfn.XLOOKUP(B130,[1]!Tabela1[[Cidades ]],[1]!Tabela1[Gerente],0,0,1)</f>
        <v>Demais coordenadores</v>
      </c>
    </row>
    <row r="131" spans="1:8" x14ac:dyDescent="0.3">
      <c r="A131" s="9" t="s">
        <v>426</v>
      </c>
      <c r="B131" s="10" t="s">
        <v>34</v>
      </c>
      <c r="C131" s="11">
        <v>45833</v>
      </c>
      <c r="D131" s="12">
        <v>827465</v>
      </c>
      <c r="E131" s="5" t="str">
        <f>_xlfn.XLOOKUP(D131,[1]!Tabela24[Código consultor],[1]!Tabela24[Consultor Venda],0,0,1)</f>
        <v>DIG - ATV - TAINARA RODRIGUES CORDEIRO</v>
      </c>
      <c r="F131" s="5" t="str">
        <f>_xlfn.XLOOKUP(D131,[1]!Tabela24[Código consultor],[1]!Tabela24[Canal Consultor],0,0,1)</f>
        <v>Televendas Ativo</v>
      </c>
      <c r="G131" s="10" t="str">
        <f>_xlfn.XLOOKUP(B131,[1]!Tabela1[[Cidades ]],[1]!Tabela1[Regional],0,0,1)</f>
        <v>Alisson</v>
      </c>
      <c r="H131" s="13" t="str">
        <f>_xlfn.XLOOKUP(B131,[1]!Tabela1[[Cidades ]],[1]!Tabela1[Gerente],0,0,1)</f>
        <v>Karine</v>
      </c>
    </row>
    <row r="132" spans="1:8" x14ac:dyDescent="0.3">
      <c r="A132" s="4" t="s">
        <v>427</v>
      </c>
      <c r="B132" s="5" t="s">
        <v>31</v>
      </c>
      <c r="C132" s="6">
        <v>45833</v>
      </c>
      <c r="D132" s="7">
        <v>647350</v>
      </c>
      <c r="E132" s="5" t="str">
        <f>_xlfn.XLOOKUP(D132,[1]!Tabela24[Código consultor],[1]!Tabela24[Consultor Venda],0,0,1)</f>
        <v>COM - CCO - MILENA CAROLINA CARVALHO DE LIMA</v>
      </c>
      <c r="F132" s="5" t="str">
        <f>_xlfn.XLOOKUP(D132,[1]!Tabela24[Código consultor],[1]!Tabela24[Canal Consultor],0,0,1)</f>
        <v>INTERNO</v>
      </c>
      <c r="G132" s="5" t="str">
        <f>_xlfn.XLOOKUP(B132,[1]!Tabela1[[Cidades ]],[1]!Tabela1[Regional],0,0,1)</f>
        <v>Maycon</v>
      </c>
      <c r="H132" s="8" t="str">
        <f>_xlfn.XLOOKUP(B132,[1]!Tabela1[[Cidades ]],[1]!Tabela1[Gerente],0,0,1)</f>
        <v>Demais coordenadores</v>
      </c>
    </row>
    <row r="133" spans="1:8" x14ac:dyDescent="0.3">
      <c r="A133" s="9" t="s">
        <v>317</v>
      </c>
      <c r="B133" s="10" t="s">
        <v>19</v>
      </c>
      <c r="C133" s="11">
        <v>45833</v>
      </c>
      <c r="D133" s="12">
        <v>788656</v>
      </c>
      <c r="E133" s="5" t="str">
        <f>_xlfn.XLOOKUP(D133,[1]!Tabela24[Código consultor],[1]!Tabela24[Consultor Venda],0,0,1)</f>
        <v>PAR - STB - PAP - JOY TELECOM - GABRIELA ALVES DE GODOY</v>
      </c>
      <c r="F133" s="5" t="str">
        <f>_xlfn.XLOOKUP(D133,[1]!Tabela24[Código consultor],[1]!Tabela24[Canal Consultor],0,0,1)</f>
        <v>PAR_DIG</v>
      </c>
      <c r="G133" s="10" t="str">
        <f>_xlfn.XLOOKUP(B133,[1]!Tabela1[[Cidades ]],[1]!Tabela1[Regional],0,0,1)</f>
        <v>Magno</v>
      </c>
      <c r="H133" s="13" t="str">
        <f>_xlfn.XLOOKUP(B133,[1]!Tabela1[[Cidades ]],[1]!Tabela1[Gerente],0,0,1)</f>
        <v>Demais coordenadores</v>
      </c>
    </row>
    <row r="134" spans="1:8" x14ac:dyDescent="0.3">
      <c r="A134" s="4" t="s">
        <v>428</v>
      </c>
      <c r="B134" s="5" t="s">
        <v>12</v>
      </c>
      <c r="C134" s="6">
        <v>45833</v>
      </c>
      <c r="D134" s="7">
        <v>525458</v>
      </c>
      <c r="E134" s="5" t="str">
        <f>_xlfn.XLOOKUP(D134,[1]!Tabela24[Código consultor],[1]!Tabela24[Consultor Venda],0,0,1)</f>
        <v>PAR - ADM - GRP - FIGUEREDO MOBILE  - JOSELIO O. P. JUNIOR</v>
      </c>
      <c r="F134" s="5" t="str">
        <f>_xlfn.XLOOKUP(D134,[1]!Tabela24[Código consultor],[1]!Tabela24[Canal Consultor],0,0,1)</f>
        <v>PAR</v>
      </c>
      <c r="G134" s="5" t="str">
        <f>_xlfn.XLOOKUP(B134,[1]!Tabela1[[Cidades ]],[1]!Tabela1[Regional],0,0,1)</f>
        <v>Jean</v>
      </c>
      <c r="H134" s="8" t="str">
        <f>_xlfn.XLOOKUP(B134,[1]!Tabela1[[Cidades ]],[1]!Tabela1[Gerente],0,0,1)</f>
        <v>Demais coordenadores</v>
      </c>
    </row>
    <row r="135" spans="1:8" x14ac:dyDescent="0.3">
      <c r="A135" s="9" t="s">
        <v>429</v>
      </c>
      <c r="B135" s="10" t="s">
        <v>19</v>
      </c>
      <c r="C135" s="11">
        <v>45833</v>
      </c>
      <c r="D135" s="12">
        <v>781646</v>
      </c>
      <c r="E135" s="5" t="str">
        <f>_xlfn.XLOOKUP(D135,[1]!Tabela24[Código consultor],[1]!Tabela24[Consultor Venda],0,0,1)</f>
        <v>COM - CHN - EDUARDA BECKER RANGEL</v>
      </c>
      <c r="F135" s="5" t="str">
        <f>_xlfn.XLOOKUP(D135,[1]!Tabela24[Código consultor],[1]!Tabela24[Canal Consultor],0,0,1)</f>
        <v>Pap</v>
      </c>
      <c r="G135" s="10" t="str">
        <f>_xlfn.XLOOKUP(B135,[1]!Tabela1[[Cidades ]],[1]!Tabela1[Regional],0,0,1)</f>
        <v>Magno</v>
      </c>
      <c r="H135" s="13" t="str">
        <f>_xlfn.XLOOKUP(B135,[1]!Tabela1[[Cidades ]],[1]!Tabela1[Gerente],0,0,1)</f>
        <v>Demais coordenadores</v>
      </c>
    </row>
    <row r="136" spans="1:8" x14ac:dyDescent="0.3">
      <c r="A136" s="4" t="s">
        <v>430</v>
      </c>
      <c r="B136" s="5" t="s">
        <v>66</v>
      </c>
      <c r="C136" s="6">
        <v>45833</v>
      </c>
      <c r="D136" s="7">
        <v>884986</v>
      </c>
      <c r="E136" s="5" t="str">
        <f>_xlfn.XLOOKUP(D136,[1]!Tabela24[Código consultor],[1]!Tabela24[Consultor Venda],0,0,1)</f>
        <v>COM - FNS - CINTIA OCON</v>
      </c>
      <c r="F136" s="5" t="str">
        <f>_xlfn.XLOOKUP(D136,[1]!Tabela24[Código consultor],[1]!Tabela24[Canal Consultor],0,0,1)</f>
        <v>Pap</v>
      </c>
      <c r="G136" s="5" t="str">
        <f>_xlfn.XLOOKUP(B136,[1]!Tabela1[[Cidades ]],[1]!Tabela1[Regional],0,0,1)</f>
        <v>Marcio</v>
      </c>
      <c r="H136" s="8" t="str">
        <f>_xlfn.XLOOKUP(B136,[1]!Tabela1[[Cidades ]],[1]!Tabela1[Gerente],0,0,1)</f>
        <v>Demais coordenadores</v>
      </c>
    </row>
    <row r="137" spans="1:8" x14ac:dyDescent="0.3">
      <c r="A137" s="9" t="s">
        <v>431</v>
      </c>
      <c r="B137" s="10" t="s">
        <v>19</v>
      </c>
      <c r="C137" s="11">
        <v>45833</v>
      </c>
      <c r="D137" s="12">
        <v>725067</v>
      </c>
      <c r="E137" s="5" t="str">
        <f>_xlfn.XLOOKUP(D137,[1]!Tabela24[Código consultor],[1]!Tabela24[Consultor Venda],0,0,1)</f>
        <v>COM - CHN - MICHELY SANTOS DOS SANTOS</v>
      </c>
      <c r="F137" s="5" t="str">
        <f>_xlfn.XLOOKUP(D137,[1]!Tabela24[Código consultor],[1]!Tabela24[Canal Consultor],0,0,1)</f>
        <v>Pap</v>
      </c>
      <c r="G137" s="10" t="str">
        <f>_xlfn.XLOOKUP(B137,[1]!Tabela1[[Cidades ]],[1]!Tabela1[Regional],0,0,1)</f>
        <v>Magno</v>
      </c>
      <c r="H137" s="13" t="str">
        <f>_xlfn.XLOOKUP(B137,[1]!Tabela1[[Cidades ]],[1]!Tabela1[Gerente],0,0,1)</f>
        <v>Demais coordenadores</v>
      </c>
    </row>
    <row r="138" spans="1:8" x14ac:dyDescent="0.3">
      <c r="A138" s="4" t="s">
        <v>320</v>
      </c>
      <c r="B138" s="5" t="s">
        <v>42</v>
      </c>
      <c r="C138" s="6">
        <v>45833</v>
      </c>
      <c r="D138" s="7">
        <v>694166</v>
      </c>
      <c r="E138" s="5" t="str">
        <f>_xlfn.XLOOKUP(D138,[1]!Tabela24[Código consultor],[1]!Tabela24[Consultor Venda],0,0,1)</f>
        <v>DIG - CCO - CARINE CORREA SOARES</v>
      </c>
      <c r="F138" s="5" t="str">
        <f>_xlfn.XLOOKUP(D138,[1]!Tabela24[Código consultor],[1]!Tabela24[Canal Consultor],0,0,1)</f>
        <v>DIGITAL</v>
      </c>
      <c r="G138" s="5" t="str">
        <f>_xlfn.XLOOKUP(B138,[1]!Tabela1[[Cidades ]],[1]!Tabela1[Regional],0,0,1)</f>
        <v>Maycon</v>
      </c>
      <c r="H138" s="8" t="str">
        <f>_xlfn.XLOOKUP(B138,[1]!Tabela1[[Cidades ]],[1]!Tabela1[Gerente],0,0,1)</f>
        <v>Demais coordenadores</v>
      </c>
    </row>
    <row r="139" spans="1:8" x14ac:dyDescent="0.3">
      <c r="A139" s="9" t="s">
        <v>432</v>
      </c>
      <c r="B139" s="10" t="s">
        <v>50</v>
      </c>
      <c r="C139" s="11">
        <v>45833</v>
      </c>
      <c r="D139" s="12">
        <v>833948</v>
      </c>
      <c r="E139" s="5" t="str">
        <f>_xlfn.XLOOKUP(D139,[1]!Tabela24[Código consultor],[1]!Tabela24[Consultor Venda],0,0,1)</f>
        <v>COM - FNS - CRISTIANO CASTRO APARECIDO</v>
      </c>
      <c r="F139" s="5" t="str">
        <f>_xlfn.XLOOKUP(D139,[1]!Tabela24[Código consultor],[1]!Tabela24[Canal Consultor],0,0,1)</f>
        <v>Pap</v>
      </c>
      <c r="G139" s="10" t="str">
        <f>_xlfn.XLOOKUP(B139,[1]!Tabela1[[Cidades ]],[1]!Tabela1[Regional],0,0,1)</f>
        <v>Marcio</v>
      </c>
      <c r="H139" s="13" t="str">
        <f>_xlfn.XLOOKUP(B139,[1]!Tabela1[[Cidades ]],[1]!Tabela1[Gerente],0,0,1)</f>
        <v>Demais coordenadores</v>
      </c>
    </row>
    <row r="140" spans="1:8" x14ac:dyDescent="0.3">
      <c r="A140" s="4" t="s">
        <v>433</v>
      </c>
      <c r="B140" s="5" t="s">
        <v>39</v>
      </c>
      <c r="C140" s="6">
        <v>45833</v>
      </c>
      <c r="D140" s="7">
        <v>617463</v>
      </c>
      <c r="E140" s="5" t="str">
        <f>_xlfn.XLOOKUP(D140,[1]!Tabela24[Código consultor],[1]!Tabela24[Consultor Venda],0,0,1)</f>
        <v>DIG - CCO - ALEX AUGUSTO DA CRUZ RODRIGUES</v>
      </c>
      <c r="F140" s="5" t="str">
        <f>_xlfn.XLOOKUP(D140,[1]!Tabela24[Código consultor],[1]!Tabela24[Canal Consultor],0,0,1)</f>
        <v>DIGITAL</v>
      </c>
      <c r="G140" s="5" t="str">
        <f>_xlfn.XLOOKUP(B140,[1]!Tabela1[[Cidades ]],[1]!Tabela1[Regional],0,0,1)</f>
        <v>Marcio</v>
      </c>
      <c r="H140" s="8" t="str">
        <f>_xlfn.XLOOKUP(B140,[1]!Tabela1[[Cidades ]],[1]!Tabela1[Gerente],0,0,1)</f>
        <v>Demais coordenadores</v>
      </c>
    </row>
    <row r="141" spans="1:8" x14ac:dyDescent="0.3">
      <c r="A141" s="9" t="s">
        <v>321</v>
      </c>
      <c r="B141" s="10" t="s">
        <v>76</v>
      </c>
      <c r="C141" s="11">
        <v>45833</v>
      </c>
      <c r="D141" s="12">
        <v>729970</v>
      </c>
      <c r="E141" s="5" t="str">
        <f>_xlfn.XLOOKUP(D141,[1]!Tabela24[Código consultor],[1]!Tabela24[Consultor Venda],0,0,1)</f>
        <v>COM - UMR - VINICIUS HENRIQUE HUSS DA MOTA</v>
      </c>
      <c r="F141" s="5" t="str">
        <f>_xlfn.XLOOKUP(D141,[1]!Tabela24[Código consultor],[1]!Tabela24[Canal Consultor],0,0,1)</f>
        <v>INTERNO</v>
      </c>
      <c r="G141" s="10" t="str">
        <f>_xlfn.XLOOKUP(B141,[1]!Tabela1[[Cidades ]],[1]!Tabela1[Regional],0,0,1)</f>
        <v>Alisson</v>
      </c>
      <c r="H141" s="13" t="str">
        <f>_xlfn.XLOOKUP(B141,[1]!Tabela1[[Cidades ]],[1]!Tabela1[Gerente],0,0,1)</f>
        <v>Helena</v>
      </c>
    </row>
    <row r="142" spans="1:8" x14ac:dyDescent="0.3">
      <c r="A142" s="4" t="s">
        <v>434</v>
      </c>
      <c r="B142" s="5" t="s">
        <v>11</v>
      </c>
      <c r="C142" s="6">
        <v>45833</v>
      </c>
      <c r="D142" s="7">
        <v>861705</v>
      </c>
      <c r="E142" s="5" t="str">
        <f>_xlfn.XLOOKUP(D142,[1]!Tabela24[Código consultor],[1]!Tabela24[Consultor Venda],0,0,1)</f>
        <v>PAR - COM - PAP - TQR - ERIKA DE OLIVEIRA GALLE</v>
      </c>
      <c r="F142" s="5" t="str">
        <f>_xlfn.XLOOKUP(D142,[1]!Tabela24[Código consultor],[1]!Tabela24[Canal Consultor],0,0,1)</f>
        <v>PAR</v>
      </c>
      <c r="G142" s="5" t="str">
        <f>_xlfn.XLOOKUP(B142,[1]!Tabela1[[Cidades ]],[1]!Tabela1[Regional],0,0,1)</f>
        <v>Magno</v>
      </c>
      <c r="H142" s="8" t="str">
        <f>_xlfn.XLOOKUP(B142,[1]!Tabela1[[Cidades ]],[1]!Tabela1[Gerente],0,0,1)</f>
        <v>Demais coordenadores</v>
      </c>
    </row>
    <row r="143" spans="1:8" x14ac:dyDescent="0.3">
      <c r="A143" s="9" t="s">
        <v>435</v>
      </c>
      <c r="B143" s="10" t="s">
        <v>72</v>
      </c>
      <c r="C143" s="11">
        <v>45833</v>
      </c>
      <c r="D143" s="12">
        <v>872122</v>
      </c>
      <c r="E143" s="5" t="str">
        <f>_xlfn.XLOOKUP(D143,[1]!Tabela24[Código consultor],[1]!Tabela24[Consultor Venda],0,0,1)</f>
        <v>PAR - COM - JCA - TECNOSERVI - ELISA MERCADO SPIELMANN</v>
      </c>
      <c r="F143" s="5" t="str">
        <f>_xlfn.XLOOKUP(D143,[1]!Tabela24[Código consultor],[1]!Tabela24[Canal Consultor],0,0,1)</f>
        <v>PAR</v>
      </c>
      <c r="G143" s="10" t="str">
        <f>_xlfn.XLOOKUP(B143,[1]!Tabela1[[Cidades ]],[1]!Tabela1[Regional],0,0,1)</f>
        <v>Maycon</v>
      </c>
      <c r="H143" s="13" t="str">
        <f>_xlfn.XLOOKUP(B143,[1]!Tabela1[[Cidades ]],[1]!Tabela1[Gerente],0,0,1)</f>
        <v>Demais coordenadores</v>
      </c>
    </row>
    <row r="144" spans="1:8" x14ac:dyDescent="0.3">
      <c r="A144" s="4" t="s">
        <v>322</v>
      </c>
      <c r="B144" s="5" t="s">
        <v>22</v>
      </c>
      <c r="C144" s="6">
        <v>45833</v>
      </c>
      <c r="D144" s="7">
        <v>788656</v>
      </c>
      <c r="E144" s="5" t="str">
        <f>_xlfn.XLOOKUP(D144,[1]!Tabela24[Código consultor],[1]!Tabela24[Consultor Venda],0,0,1)</f>
        <v>PAR - STB - PAP - JOY TELECOM - GABRIELA ALVES DE GODOY</v>
      </c>
      <c r="F144" s="5" t="str">
        <f>_xlfn.XLOOKUP(D144,[1]!Tabela24[Código consultor],[1]!Tabela24[Canal Consultor],0,0,1)</f>
        <v>PAR_DIG</v>
      </c>
      <c r="G144" s="5" t="str">
        <f>_xlfn.XLOOKUP(B144,[1]!Tabela1[[Cidades ]],[1]!Tabela1[Regional],0,0,1)</f>
        <v>Magno</v>
      </c>
      <c r="H144" s="8" t="str">
        <f>_xlfn.XLOOKUP(B144,[1]!Tabela1[[Cidades ]],[1]!Tabela1[Gerente],0,0,1)</f>
        <v>Demais coordenadores</v>
      </c>
    </row>
    <row r="145" spans="1:8" x14ac:dyDescent="0.3">
      <c r="A145" s="9" t="s">
        <v>436</v>
      </c>
      <c r="B145" s="10" t="s">
        <v>31</v>
      </c>
      <c r="C145" s="11">
        <v>45833</v>
      </c>
      <c r="D145" s="12">
        <v>788656</v>
      </c>
      <c r="E145" s="5" t="str">
        <f>_xlfn.XLOOKUP(D145,[1]!Tabela24[Código consultor],[1]!Tabela24[Consultor Venda],0,0,1)</f>
        <v>PAR - STB - PAP - JOY TELECOM - GABRIELA ALVES DE GODOY</v>
      </c>
      <c r="F145" s="5" t="str">
        <f>_xlfn.XLOOKUP(D145,[1]!Tabela24[Código consultor],[1]!Tabela24[Canal Consultor],0,0,1)</f>
        <v>PAR_DIG</v>
      </c>
      <c r="G145" s="10" t="str">
        <f>_xlfn.XLOOKUP(B145,[1]!Tabela1[[Cidades ]],[1]!Tabela1[Regional],0,0,1)</f>
        <v>Maycon</v>
      </c>
      <c r="H145" s="13" t="str">
        <f>_xlfn.XLOOKUP(B145,[1]!Tabela1[[Cidades ]],[1]!Tabela1[Gerente],0,0,1)</f>
        <v>Demais coordenadores</v>
      </c>
    </row>
    <row r="146" spans="1:8" x14ac:dyDescent="0.3">
      <c r="A146" s="4" t="s">
        <v>437</v>
      </c>
      <c r="B146" s="5" t="s">
        <v>76</v>
      </c>
      <c r="C146" s="6">
        <v>45833</v>
      </c>
      <c r="D146" s="7">
        <v>878918</v>
      </c>
      <c r="E146" s="5" t="str">
        <f>_xlfn.XLOOKUP(D146,[1]!Tabela24[Código consultor],[1]!Tabela24[Consultor Venda],0,0,1)</f>
        <v>COM - CIO - DANIELE VAZ</v>
      </c>
      <c r="F146" s="5" t="str">
        <f>_xlfn.XLOOKUP(D146,[1]!Tabela24[Código consultor],[1]!Tabela24[Canal Consultor],0,0,1)</f>
        <v>INTERNO</v>
      </c>
      <c r="G146" s="5" t="str">
        <f>_xlfn.XLOOKUP(B146,[1]!Tabela1[[Cidades ]],[1]!Tabela1[Regional],0,0,1)</f>
        <v>Alisson</v>
      </c>
      <c r="H146" s="8" t="str">
        <f>_xlfn.XLOOKUP(B146,[1]!Tabela1[[Cidades ]],[1]!Tabela1[Gerente],0,0,1)</f>
        <v>Helena</v>
      </c>
    </row>
    <row r="147" spans="1:8" x14ac:dyDescent="0.3">
      <c r="A147" s="9" t="s">
        <v>323</v>
      </c>
      <c r="B147" s="10" t="s">
        <v>78</v>
      </c>
      <c r="C147" s="11">
        <v>45833</v>
      </c>
      <c r="D147" s="12">
        <v>683349</v>
      </c>
      <c r="E147" s="5" t="str">
        <f>_xlfn.XLOOKUP(D147,[1]!Tabela24[Código consultor],[1]!Tabela24[Consultor Venda],0,0,1)</f>
        <v>DIG - CCO - EVELLIN SALOA MAIA DA CONCEICAO</v>
      </c>
      <c r="F147" s="5" t="str">
        <f>_xlfn.XLOOKUP(D147,[1]!Tabela24[Código consultor],[1]!Tabela24[Canal Consultor],0,0,1)</f>
        <v>DIGITAL</v>
      </c>
      <c r="G147" s="10" t="str">
        <f>_xlfn.XLOOKUP(B147,[1]!Tabela1[[Cidades ]],[1]!Tabela1[Regional],0,0,1)</f>
        <v>Alisson</v>
      </c>
      <c r="H147" s="13" t="str">
        <f>_xlfn.XLOOKUP(B147,[1]!Tabela1[[Cidades ]],[1]!Tabela1[Gerente],0,0,1)</f>
        <v>Karine</v>
      </c>
    </row>
    <row r="148" spans="1:8" x14ac:dyDescent="0.3">
      <c r="A148" s="4" t="s">
        <v>438</v>
      </c>
      <c r="B148" s="5" t="s">
        <v>10</v>
      </c>
      <c r="C148" s="6">
        <v>45833</v>
      </c>
      <c r="D148" s="7">
        <v>525458</v>
      </c>
      <c r="E148" s="5" t="str">
        <f>_xlfn.XLOOKUP(D148,[1]!Tabela24[Código consultor],[1]!Tabela24[Consultor Venda],0,0,1)</f>
        <v>PAR - ADM - GRP - FIGUEREDO MOBILE  - JOSELIO O. P. JUNIOR</v>
      </c>
      <c r="F148" s="5" t="str">
        <f>_xlfn.XLOOKUP(D148,[1]!Tabela24[Código consultor],[1]!Tabela24[Canal Consultor],0,0,1)</f>
        <v>PAR</v>
      </c>
      <c r="G148" s="5" t="str">
        <f>_xlfn.XLOOKUP(B148,[1]!Tabela1[[Cidades ]],[1]!Tabela1[Regional],0,0,1)</f>
        <v>Jean</v>
      </c>
      <c r="H148" s="8" t="str">
        <f>_xlfn.XLOOKUP(B148,[1]!Tabela1[[Cidades ]],[1]!Tabela1[Gerente],0,0,1)</f>
        <v>Demais coordenadores</v>
      </c>
    </row>
    <row r="149" spans="1:8" x14ac:dyDescent="0.3">
      <c r="A149" s="9" t="s">
        <v>439</v>
      </c>
      <c r="B149" s="10" t="s">
        <v>15</v>
      </c>
      <c r="C149" s="11">
        <v>45833</v>
      </c>
      <c r="D149" s="12">
        <v>382796</v>
      </c>
      <c r="E149" s="5" t="str">
        <f>_xlfn.XLOOKUP(D149,[1]!Tabela24[Código consultor],[1]!Tabela24[Consultor Venda],0,0,1)</f>
        <v>COM - NVG - CRISTIANE MACIEL</v>
      </c>
      <c r="F149" s="5" t="str">
        <f>_xlfn.XLOOKUP(D149,[1]!Tabela24[Código consultor],[1]!Tabela24[Canal Consultor],0,0,1)</f>
        <v>INTERNO</v>
      </c>
      <c r="G149" s="10" t="str">
        <f>_xlfn.XLOOKUP(B149,[1]!Tabela1[[Cidades ]],[1]!Tabela1[Regional],0,0,1)</f>
        <v>Marcio</v>
      </c>
      <c r="H149" s="13" t="str">
        <f>_xlfn.XLOOKUP(B149,[1]!Tabela1[[Cidades ]],[1]!Tabela1[Gerente],0,0,1)</f>
        <v>Demais coordenadores</v>
      </c>
    </row>
    <row r="150" spans="1:8" x14ac:dyDescent="0.3">
      <c r="A150" s="4" t="s">
        <v>325</v>
      </c>
      <c r="B150" s="5" t="s">
        <v>34</v>
      </c>
      <c r="C150" s="6">
        <v>45833</v>
      </c>
      <c r="D150" s="7">
        <v>680982</v>
      </c>
      <c r="E150" s="5" t="str">
        <f>_xlfn.XLOOKUP(D150,[1]!Tabela24[Código consultor],[1]!Tabela24[Consultor Venda],0,0,1)</f>
        <v>COM - ERE - JESSICA LAURA SOUZA</v>
      </c>
      <c r="F150" s="5" t="str">
        <f>_xlfn.XLOOKUP(D150,[1]!Tabela24[Código consultor],[1]!Tabela24[Canal Consultor],0,0,1)</f>
        <v>INTERNO</v>
      </c>
      <c r="G150" s="5" t="str">
        <f>_xlfn.XLOOKUP(B150,[1]!Tabela1[[Cidades ]],[1]!Tabela1[Regional],0,0,1)</f>
        <v>Alisson</v>
      </c>
      <c r="H150" s="8" t="str">
        <f>_xlfn.XLOOKUP(B150,[1]!Tabela1[[Cidades ]],[1]!Tabela1[Gerente],0,0,1)</f>
        <v>Karine</v>
      </c>
    </row>
    <row r="151" spans="1:8" x14ac:dyDescent="0.3">
      <c r="A151" s="9" t="s">
        <v>440</v>
      </c>
      <c r="B151" s="10" t="s">
        <v>63</v>
      </c>
      <c r="C151" s="11">
        <v>45833</v>
      </c>
      <c r="D151" s="12">
        <v>110</v>
      </c>
      <c r="E151" s="5" t="str">
        <f>_xlfn.XLOOKUP(D151,[1]!Tabela24[Código consultor],[1]!Tabela24[Consultor Venda],0,0,1)</f>
        <v>PAR - INTE - STHO - JACKSON HAAS - JACKSON HAAS</v>
      </c>
      <c r="F151" s="5" t="str">
        <f>_xlfn.XLOOKUP(D151,[1]!Tabela24[Código consultor],[1]!Tabela24[Canal Consultor],0,0,1)</f>
        <v>PAR</v>
      </c>
      <c r="G151" s="10" t="str">
        <f>_xlfn.XLOOKUP(B151,[1]!Tabela1[[Cidades ]],[1]!Tabela1[Regional],0,0,1)</f>
        <v>Maycon</v>
      </c>
      <c r="H151" s="13" t="str">
        <f>_xlfn.XLOOKUP(B151,[1]!Tabela1[[Cidades ]],[1]!Tabela1[Gerente],0,0,1)</f>
        <v>Demais coordenadores</v>
      </c>
    </row>
    <row r="152" spans="1:8" x14ac:dyDescent="0.3">
      <c r="A152" s="4" t="s">
        <v>441</v>
      </c>
      <c r="B152" s="5" t="s">
        <v>27</v>
      </c>
      <c r="C152" s="6">
        <v>45833</v>
      </c>
      <c r="D152" s="7">
        <v>405</v>
      </c>
      <c r="E152" s="5" t="str">
        <f>_xlfn.XLOOKUP(D152,[1]!Tabela24[Código consultor],[1]!Tabela24[Consultor Venda],0,0,1)</f>
        <v>COM - VAA - GREICE BOEIRA DA SILVA</v>
      </c>
      <c r="F152" s="5" t="str">
        <f>_xlfn.XLOOKUP(D152,[1]!Tabela24[Código consultor],[1]!Tabela24[Canal Consultor],0,0,1)</f>
        <v>INTERNO</v>
      </c>
      <c r="G152" s="5" t="str">
        <f>_xlfn.XLOOKUP(B152,[1]!Tabela1[[Cidades ]],[1]!Tabela1[Regional],0,0,1)</f>
        <v>Alisson</v>
      </c>
      <c r="H152" s="8" t="str">
        <f>_xlfn.XLOOKUP(B152,[1]!Tabela1[[Cidades ]],[1]!Tabela1[Gerente],0,0,1)</f>
        <v>Tatiane</v>
      </c>
    </row>
    <row r="153" spans="1:8" x14ac:dyDescent="0.3">
      <c r="A153" s="9" t="s">
        <v>442</v>
      </c>
      <c r="B153" s="10" t="s">
        <v>12</v>
      </c>
      <c r="C153" s="11">
        <v>45833</v>
      </c>
      <c r="D153" s="12">
        <v>882331</v>
      </c>
      <c r="E153" s="5" t="str">
        <f>_xlfn.XLOOKUP(D153,[1]!Tabela24[Código consultor],[1]!Tabela24[Consultor Venda],0,0,1)</f>
        <v>DIG - CCO - SABRINA LUIZA BANDEIRA</v>
      </c>
      <c r="F153" s="5" t="str">
        <f>_xlfn.XLOOKUP(D153,[1]!Tabela24[Código consultor],[1]!Tabela24[Canal Consultor],0,0,1)</f>
        <v>DIGITAL</v>
      </c>
      <c r="G153" s="10" t="str">
        <f>_xlfn.XLOOKUP(B153,[1]!Tabela1[[Cidades ]],[1]!Tabela1[Regional],0,0,1)</f>
        <v>Jean</v>
      </c>
      <c r="H153" s="13" t="str">
        <f>_xlfn.XLOOKUP(B153,[1]!Tabela1[[Cidades ]],[1]!Tabela1[Gerente],0,0,1)</f>
        <v>Demais coordenadores</v>
      </c>
    </row>
    <row r="154" spans="1:8" x14ac:dyDescent="0.3">
      <c r="A154" s="4" t="s">
        <v>443</v>
      </c>
      <c r="B154" s="5" t="s">
        <v>16</v>
      </c>
      <c r="C154" s="6">
        <v>45833</v>
      </c>
      <c r="D154" s="7">
        <v>867361</v>
      </c>
      <c r="E154" s="5" t="str">
        <f>_xlfn.XLOOKUP(D154,[1]!Tabela24[Código consultor],[1]!Tabela24[Consultor Venda],0,0,1)</f>
        <v>COM - CSL - HENRIQUE POLONIATO MULLER</v>
      </c>
      <c r="F154" s="5" t="str">
        <f>_xlfn.XLOOKUP(D154,[1]!Tabela24[Código consultor],[1]!Tabela24[Canal Consultor],0,0,1)</f>
        <v>Pap</v>
      </c>
      <c r="G154" s="5" t="str">
        <f>_xlfn.XLOOKUP(B154,[1]!Tabela1[[Cidades ]],[1]!Tabela1[Regional],0,0,1)</f>
        <v>Magno</v>
      </c>
      <c r="H154" s="8" t="str">
        <f>_xlfn.XLOOKUP(B154,[1]!Tabela1[[Cidades ]],[1]!Tabela1[Gerente],0,0,1)</f>
        <v>Demais coordenadores</v>
      </c>
    </row>
    <row r="155" spans="1:8" x14ac:dyDescent="0.3">
      <c r="A155" s="9" t="s">
        <v>327</v>
      </c>
      <c r="B155" s="10" t="s">
        <v>11</v>
      </c>
      <c r="C155" s="11">
        <v>45833</v>
      </c>
      <c r="D155" s="12">
        <v>788656</v>
      </c>
      <c r="E155" s="5" t="str">
        <f>_xlfn.XLOOKUP(D155,[1]!Tabela24[Código consultor],[1]!Tabela24[Consultor Venda],0,0,1)</f>
        <v>PAR - STB - PAP - JOY TELECOM - GABRIELA ALVES DE GODOY</v>
      </c>
      <c r="F155" s="5" t="str">
        <f>_xlfn.XLOOKUP(D155,[1]!Tabela24[Código consultor],[1]!Tabela24[Canal Consultor],0,0,1)</f>
        <v>PAR_DIG</v>
      </c>
      <c r="G155" s="10" t="str">
        <f>_xlfn.XLOOKUP(B155,[1]!Tabela1[[Cidades ]],[1]!Tabela1[Regional],0,0,1)</f>
        <v>Magno</v>
      </c>
      <c r="H155" s="13" t="str">
        <f>_xlfn.XLOOKUP(B155,[1]!Tabela1[[Cidades ]],[1]!Tabela1[Gerente],0,0,1)</f>
        <v>Demais coordenadores</v>
      </c>
    </row>
    <row r="156" spans="1:8" x14ac:dyDescent="0.3">
      <c r="A156" s="4" t="s">
        <v>444</v>
      </c>
      <c r="B156" s="5" t="s">
        <v>77</v>
      </c>
      <c r="C156" s="6">
        <v>45833</v>
      </c>
      <c r="D156" s="7">
        <v>127424</v>
      </c>
      <c r="E156" s="5" t="str">
        <f>_xlfn.XLOOKUP(D156,[1]!Tabela24[Código consultor],[1]!Tabela24[Consultor Venda],0,0,1)</f>
        <v>PAR - COM - BSL - VGI TELECOMUNICAÇÕES - CRISTIANE F VARGAS</v>
      </c>
      <c r="F156" s="5" t="str">
        <f>_xlfn.XLOOKUP(D156,[1]!Tabela24[Código consultor],[1]!Tabela24[Canal Consultor],0,0,1)</f>
        <v>PAR</v>
      </c>
      <c r="G156" s="5" t="str">
        <f>_xlfn.XLOOKUP(B156,[1]!Tabela1[[Cidades ]],[1]!Tabela1[Regional],0,0,1)</f>
        <v>Alisson</v>
      </c>
      <c r="H156" s="8" t="str">
        <f>_xlfn.XLOOKUP(B156,[1]!Tabela1[[Cidades ]],[1]!Tabela1[Gerente],0,0,1)</f>
        <v>Ariana</v>
      </c>
    </row>
    <row r="157" spans="1:8" x14ac:dyDescent="0.3">
      <c r="A157" s="9" t="s">
        <v>328</v>
      </c>
      <c r="B157" s="10" t="s">
        <v>50</v>
      </c>
      <c r="C157" s="11">
        <v>45833</v>
      </c>
      <c r="D157" s="12">
        <v>870195</v>
      </c>
      <c r="E157" s="5" t="str">
        <f>_xlfn.XLOOKUP(D157,[1]!Tabela24[Código consultor],[1]!Tabela24[Consultor Venda],0,0,1)</f>
        <v>COM - FNS - AMINE DE OLIVEIRA VENTURA</v>
      </c>
      <c r="F157" s="5" t="str">
        <f>_xlfn.XLOOKUP(D157,[1]!Tabela24[Código consultor],[1]!Tabela24[Canal Consultor],0,0,1)</f>
        <v>Pap</v>
      </c>
      <c r="G157" s="10" t="str">
        <f>_xlfn.XLOOKUP(B157,[1]!Tabela1[[Cidades ]],[1]!Tabela1[Regional],0,0,1)</f>
        <v>Marcio</v>
      </c>
      <c r="H157" s="13" t="str">
        <f>_xlfn.XLOOKUP(B157,[1]!Tabela1[[Cidades ]],[1]!Tabela1[Gerente],0,0,1)</f>
        <v>Demais coordenadores</v>
      </c>
    </row>
    <row r="158" spans="1:8" x14ac:dyDescent="0.3">
      <c r="A158" s="4" t="s">
        <v>445</v>
      </c>
      <c r="B158" s="5" t="s">
        <v>11</v>
      </c>
      <c r="C158" s="6">
        <v>45833</v>
      </c>
      <c r="D158" s="7">
        <v>788656</v>
      </c>
      <c r="E158" s="5" t="str">
        <f>_xlfn.XLOOKUP(D158,[1]!Tabela24[Código consultor],[1]!Tabela24[Consultor Venda],0,0,1)</f>
        <v>PAR - STB - PAP - JOY TELECOM - GABRIELA ALVES DE GODOY</v>
      </c>
      <c r="F158" s="5" t="str">
        <f>_xlfn.XLOOKUP(D158,[1]!Tabela24[Código consultor],[1]!Tabela24[Canal Consultor],0,0,1)</f>
        <v>PAR_DIG</v>
      </c>
      <c r="G158" s="5" t="str">
        <f>_xlfn.XLOOKUP(B158,[1]!Tabela1[[Cidades ]],[1]!Tabela1[Regional],0,0,1)</f>
        <v>Magno</v>
      </c>
      <c r="H158" s="8" t="str">
        <f>_xlfn.XLOOKUP(B158,[1]!Tabela1[[Cidades ]],[1]!Tabela1[Gerente],0,0,1)</f>
        <v>Demais coordenadores</v>
      </c>
    </row>
    <row r="159" spans="1:8" x14ac:dyDescent="0.3">
      <c r="A159" s="9" t="s">
        <v>330</v>
      </c>
      <c r="B159" s="10" t="s">
        <v>47</v>
      </c>
      <c r="C159" s="11">
        <v>45833</v>
      </c>
      <c r="D159" s="12">
        <v>882331</v>
      </c>
      <c r="E159" s="5" t="str">
        <f>_xlfn.XLOOKUP(D159,[1]!Tabela24[Código consultor],[1]!Tabela24[Consultor Venda],0,0,1)</f>
        <v>DIG - CCO - SABRINA LUIZA BANDEIRA</v>
      </c>
      <c r="F159" s="5" t="str">
        <f>_xlfn.XLOOKUP(D159,[1]!Tabela24[Código consultor],[1]!Tabela24[Canal Consultor],0,0,1)</f>
        <v>DIGITAL</v>
      </c>
      <c r="G159" s="10" t="str">
        <f>_xlfn.XLOOKUP(B159,[1]!Tabela1[[Cidades ]],[1]!Tabela1[Regional],0,0,1)</f>
        <v>Magno</v>
      </c>
      <c r="H159" s="13" t="str">
        <f>_xlfn.XLOOKUP(B159,[1]!Tabela1[[Cidades ]],[1]!Tabela1[Gerente],0,0,1)</f>
        <v>Demais coordenadores</v>
      </c>
    </row>
    <row r="160" spans="1:8" x14ac:dyDescent="0.3">
      <c r="A160" s="4" t="s">
        <v>446</v>
      </c>
      <c r="B160" s="5" t="s">
        <v>24</v>
      </c>
      <c r="C160" s="6">
        <v>45833</v>
      </c>
      <c r="D160" s="7">
        <v>876183</v>
      </c>
      <c r="E160" s="5" t="str">
        <f>_xlfn.XLOOKUP(D160,[1]!Tabela24[Código consultor],[1]!Tabela24[Consultor Venda],0,0,1)</f>
        <v>COM - SMA - ANDRE DA SILVA DOS SANTOS</v>
      </c>
      <c r="F160" s="5" t="str">
        <f>_xlfn.XLOOKUP(D160,[1]!Tabela24[Código consultor],[1]!Tabela24[Canal Consultor],0,0,1)</f>
        <v>Pap</v>
      </c>
      <c r="G160" s="5" t="str">
        <f>_xlfn.XLOOKUP(B160,[1]!Tabela1[[Cidades ]],[1]!Tabela1[Regional],0,0,1)</f>
        <v>Magno</v>
      </c>
      <c r="H160" s="8" t="str">
        <f>_xlfn.XLOOKUP(B160,[1]!Tabela1[[Cidades ]],[1]!Tabela1[Gerente],0,0,1)</f>
        <v>Demais coordenadores</v>
      </c>
    </row>
    <row r="161" spans="1:8" x14ac:dyDescent="0.3">
      <c r="A161" s="9" t="s">
        <v>331</v>
      </c>
      <c r="B161" s="10" t="s">
        <v>12</v>
      </c>
      <c r="C161" s="11">
        <v>45833</v>
      </c>
      <c r="D161" s="12">
        <v>235841</v>
      </c>
      <c r="E161" s="5" t="str">
        <f>_xlfn.XLOOKUP(D161,[1]!Tabela24[Código consultor],[1]!Tabela24[Consultor Venda],0,0,1)</f>
        <v>DIG - CCO - KAUANA BONI</v>
      </c>
      <c r="F161" s="5" t="str">
        <f>_xlfn.XLOOKUP(D161,[1]!Tabela24[Código consultor],[1]!Tabela24[Canal Consultor],0,0,1)</f>
        <v>DIGITAL</v>
      </c>
      <c r="G161" s="10" t="str">
        <f>_xlfn.XLOOKUP(B161,[1]!Tabela1[[Cidades ]],[1]!Tabela1[Regional],0,0,1)</f>
        <v>Jean</v>
      </c>
      <c r="H161" s="13" t="str">
        <f>_xlfn.XLOOKUP(B161,[1]!Tabela1[[Cidades ]],[1]!Tabela1[Gerente],0,0,1)</f>
        <v>Demais coordenadores</v>
      </c>
    </row>
    <row r="162" spans="1:8" x14ac:dyDescent="0.3">
      <c r="A162" s="4" t="s">
        <v>447</v>
      </c>
      <c r="B162" s="5" t="s">
        <v>32</v>
      </c>
      <c r="C162" s="6">
        <v>45833</v>
      </c>
      <c r="D162" s="7">
        <v>610972</v>
      </c>
      <c r="E162" s="5" t="str">
        <f>_xlfn.XLOOKUP(D162,[1]!Tabela24[Código consultor],[1]!Tabela24[Consultor Venda],0,0,1)</f>
        <v>COM - CPB - MARINARA SOUZA DE OLIVEIRA</v>
      </c>
      <c r="F162" s="5" t="str">
        <f>_xlfn.XLOOKUP(D162,[1]!Tabela24[Código consultor],[1]!Tabela24[Canal Consultor],0,0,1)</f>
        <v>INTERNO</v>
      </c>
      <c r="G162" s="5" t="str">
        <f>_xlfn.XLOOKUP(B162,[1]!Tabela1[[Cidades ]],[1]!Tabela1[Regional],0,0,1)</f>
        <v>Jean</v>
      </c>
      <c r="H162" s="8" t="str">
        <f>_xlfn.XLOOKUP(B162,[1]!Tabela1[[Cidades ]],[1]!Tabela1[Gerente],0,0,1)</f>
        <v>Demais coordenadores</v>
      </c>
    </row>
    <row r="163" spans="1:8" x14ac:dyDescent="0.3">
      <c r="A163" s="9" t="s">
        <v>448</v>
      </c>
      <c r="B163" s="10" t="s">
        <v>22</v>
      </c>
      <c r="C163" s="11">
        <v>45833</v>
      </c>
      <c r="D163" s="12">
        <v>788656</v>
      </c>
      <c r="E163" s="5" t="str">
        <f>_xlfn.XLOOKUP(D163,[1]!Tabela24[Código consultor],[1]!Tabela24[Consultor Venda],0,0,1)</f>
        <v>PAR - STB - PAP - JOY TELECOM - GABRIELA ALVES DE GODOY</v>
      </c>
      <c r="F163" s="5" t="str">
        <f>_xlfn.XLOOKUP(D163,[1]!Tabela24[Código consultor],[1]!Tabela24[Canal Consultor],0,0,1)</f>
        <v>PAR_DIG</v>
      </c>
      <c r="G163" s="10" t="str">
        <f>_xlfn.XLOOKUP(B163,[1]!Tabela1[[Cidades ]],[1]!Tabela1[Regional],0,0,1)</f>
        <v>Magno</v>
      </c>
      <c r="H163" s="13" t="str">
        <f>_xlfn.XLOOKUP(B163,[1]!Tabela1[[Cidades ]],[1]!Tabela1[Gerente],0,0,1)</f>
        <v>Demais coordenadores</v>
      </c>
    </row>
    <row r="164" spans="1:8" x14ac:dyDescent="0.3">
      <c r="A164" s="4" t="s">
        <v>449</v>
      </c>
      <c r="B164" s="5" t="s">
        <v>39</v>
      </c>
      <c r="C164" s="6">
        <v>45833</v>
      </c>
      <c r="D164" s="7">
        <v>547570</v>
      </c>
      <c r="E164" s="5" t="str">
        <f>_xlfn.XLOOKUP(D164,[1]!Tabela24[Código consultor],[1]!Tabela24[Consultor Venda],0,0,1)</f>
        <v>COM - LGS - ISABEL CRISTINA RODRIGUES DE JESUS</v>
      </c>
      <c r="F164" s="5" t="str">
        <f>_xlfn.XLOOKUP(D164,[1]!Tabela24[Código consultor],[1]!Tabela24[Canal Consultor],0,0,1)</f>
        <v>INTERNO</v>
      </c>
      <c r="G164" s="5" t="str">
        <f>_xlfn.XLOOKUP(B164,[1]!Tabela1[[Cidades ]],[1]!Tabela1[Regional],0,0,1)</f>
        <v>Marcio</v>
      </c>
      <c r="H164" s="8" t="str">
        <f>_xlfn.XLOOKUP(B164,[1]!Tabela1[[Cidades ]],[1]!Tabela1[Gerente],0,0,1)</f>
        <v>Demais coordenadores</v>
      </c>
    </row>
    <row r="165" spans="1:8" x14ac:dyDescent="0.3">
      <c r="A165" s="9" t="s">
        <v>182</v>
      </c>
      <c r="B165" s="10" t="s">
        <v>16</v>
      </c>
      <c r="C165" s="11">
        <v>45833</v>
      </c>
      <c r="D165" s="12">
        <v>788656</v>
      </c>
      <c r="E165" s="5" t="str">
        <f>_xlfn.XLOOKUP(D165,[1]!Tabela24[Código consultor],[1]!Tabela24[Consultor Venda],0,0,1)</f>
        <v>PAR - STB - PAP - JOY TELECOM - GABRIELA ALVES DE GODOY</v>
      </c>
      <c r="F165" s="5" t="str">
        <f>_xlfn.XLOOKUP(D165,[1]!Tabela24[Código consultor],[1]!Tabela24[Canal Consultor],0,0,1)</f>
        <v>PAR_DIG</v>
      </c>
      <c r="G165" s="10" t="str">
        <f>_xlfn.XLOOKUP(B165,[1]!Tabela1[[Cidades ]],[1]!Tabela1[Regional],0,0,1)</f>
        <v>Magno</v>
      </c>
      <c r="H165" s="13" t="str">
        <f>_xlfn.XLOOKUP(B165,[1]!Tabela1[[Cidades ]],[1]!Tabela1[Gerente],0,0,1)</f>
        <v>Demais coordenadores</v>
      </c>
    </row>
    <row r="166" spans="1:8" x14ac:dyDescent="0.3">
      <c r="A166" s="4" t="s">
        <v>450</v>
      </c>
      <c r="B166" s="5" t="s">
        <v>11</v>
      </c>
      <c r="C166" s="6">
        <v>45833</v>
      </c>
      <c r="D166" s="7">
        <v>235841</v>
      </c>
      <c r="E166" s="5" t="str">
        <f>_xlfn.XLOOKUP(D166,[1]!Tabela24[Código consultor],[1]!Tabela24[Consultor Venda],0,0,1)</f>
        <v>DIG - CCO - KAUANA BONI</v>
      </c>
      <c r="F166" s="5" t="str">
        <f>_xlfn.XLOOKUP(D166,[1]!Tabela24[Código consultor],[1]!Tabela24[Canal Consultor],0,0,1)</f>
        <v>DIGITAL</v>
      </c>
      <c r="G166" s="5" t="str">
        <f>_xlfn.XLOOKUP(B166,[1]!Tabela1[[Cidades ]],[1]!Tabela1[Regional],0,0,1)</f>
        <v>Magno</v>
      </c>
      <c r="H166" s="8" t="str">
        <f>_xlfn.XLOOKUP(B166,[1]!Tabela1[[Cidades ]],[1]!Tabela1[Gerente],0,0,1)</f>
        <v>Demais coordenadores</v>
      </c>
    </row>
    <row r="167" spans="1:8" x14ac:dyDescent="0.3">
      <c r="A167" s="9" t="s">
        <v>451</v>
      </c>
      <c r="B167" s="10" t="s">
        <v>22</v>
      </c>
      <c r="C167" s="11">
        <v>45833</v>
      </c>
      <c r="D167" s="12">
        <v>788656</v>
      </c>
      <c r="E167" s="5" t="str">
        <f>_xlfn.XLOOKUP(D167,[1]!Tabela24[Código consultor],[1]!Tabela24[Consultor Venda],0,0,1)</f>
        <v>PAR - STB - PAP - JOY TELECOM - GABRIELA ALVES DE GODOY</v>
      </c>
      <c r="F167" s="5" t="str">
        <f>_xlfn.XLOOKUP(D167,[1]!Tabela24[Código consultor],[1]!Tabela24[Canal Consultor],0,0,1)</f>
        <v>PAR_DIG</v>
      </c>
      <c r="G167" s="10" t="str">
        <f>_xlfn.XLOOKUP(B167,[1]!Tabela1[[Cidades ]],[1]!Tabela1[Regional],0,0,1)</f>
        <v>Magno</v>
      </c>
      <c r="H167" s="13" t="str">
        <f>_xlfn.XLOOKUP(B167,[1]!Tabela1[[Cidades ]],[1]!Tabela1[Gerente],0,0,1)</f>
        <v>Demais coordenadores</v>
      </c>
    </row>
    <row r="168" spans="1:8" x14ac:dyDescent="0.3">
      <c r="A168" s="4" t="s">
        <v>452</v>
      </c>
      <c r="B168" s="5" t="s">
        <v>31</v>
      </c>
      <c r="C168" s="6">
        <v>45833</v>
      </c>
      <c r="D168" s="7">
        <v>788656</v>
      </c>
      <c r="E168" s="5" t="str">
        <f>_xlfn.XLOOKUP(D168,[1]!Tabela24[Código consultor],[1]!Tabela24[Consultor Venda],0,0,1)</f>
        <v>PAR - STB - PAP - JOY TELECOM - GABRIELA ALVES DE GODOY</v>
      </c>
      <c r="F168" s="5" t="str">
        <f>_xlfn.XLOOKUP(D168,[1]!Tabela24[Código consultor],[1]!Tabela24[Canal Consultor],0,0,1)</f>
        <v>PAR_DIG</v>
      </c>
      <c r="G168" s="5" t="str">
        <f>_xlfn.XLOOKUP(B168,[1]!Tabela1[[Cidades ]],[1]!Tabela1[Regional],0,0,1)</f>
        <v>Maycon</v>
      </c>
      <c r="H168" s="8" t="str">
        <f>_xlfn.XLOOKUP(B168,[1]!Tabela1[[Cidades ]],[1]!Tabela1[Gerente],0,0,1)</f>
        <v>Demais coordenadores</v>
      </c>
    </row>
    <row r="169" spans="1:8" x14ac:dyDescent="0.3">
      <c r="A169" s="9" t="s">
        <v>453</v>
      </c>
      <c r="B169" s="10" t="s">
        <v>45</v>
      </c>
      <c r="C169" s="11">
        <v>45833</v>
      </c>
      <c r="D169" s="12">
        <v>857212</v>
      </c>
      <c r="E169" s="5" t="str">
        <f>_xlfn.XLOOKUP(D169,[1]!Tabela24[Código consultor],[1]!Tabela24[Consultor Venda],0,0,1)</f>
        <v>COM - SOC - VICTOR GAMA MORAES</v>
      </c>
      <c r="F169" s="5" t="str">
        <f>_xlfn.XLOOKUP(D169,[1]!Tabela24[Código consultor],[1]!Tabela24[Canal Consultor],0,0,1)</f>
        <v>INTERNO</v>
      </c>
      <c r="G169" s="10" t="str">
        <f>_xlfn.XLOOKUP(B169,[1]!Tabela1[[Cidades ]],[1]!Tabela1[Regional],0,0,1)</f>
        <v>Jean</v>
      </c>
      <c r="H169" s="13" t="str">
        <f>_xlfn.XLOOKUP(B169,[1]!Tabela1[[Cidades ]],[1]!Tabela1[Gerente],0,0,1)</f>
        <v>Demais coordenadores</v>
      </c>
    </row>
    <row r="170" spans="1:8" x14ac:dyDescent="0.3">
      <c r="A170" s="4" t="s">
        <v>454</v>
      </c>
      <c r="B170" s="5" t="s">
        <v>39</v>
      </c>
      <c r="C170" s="6">
        <v>45833</v>
      </c>
      <c r="D170" s="7">
        <v>547570</v>
      </c>
      <c r="E170" s="5" t="str">
        <f>_xlfn.XLOOKUP(D170,[1]!Tabela24[Código consultor],[1]!Tabela24[Consultor Venda],0,0,1)</f>
        <v>COM - LGS - ISABEL CRISTINA RODRIGUES DE JESUS</v>
      </c>
      <c r="F170" s="5" t="str">
        <f>_xlfn.XLOOKUP(D170,[1]!Tabela24[Código consultor],[1]!Tabela24[Canal Consultor],0,0,1)</f>
        <v>INTERNO</v>
      </c>
      <c r="G170" s="5" t="str">
        <f>_xlfn.XLOOKUP(B170,[1]!Tabela1[[Cidades ]],[1]!Tabela1[Regional],0,0,1)</f>
        <v>Marcio</v>
      </c>
      <c r="H170" s="8" t="str">
        <f>_xlfn.XLOOKUP(B170,[1]!Tabela1[[Cidades ]],[1]!Tabela1[Gerente],0,0,1)</f>
        <v>Demais coordenadores</v>
      </c>
    </row>
    <row r="171" spans="1:8" x14ac:dyDescent="0.3">
      <c r="A171" s="9" t="s">
        <v>455</v>
      </c>
      <c r="B171" s="10" t="s">
        <v>19</v>
      </c>
      <c r="C171" s="11">
        <v>45833</v>
      </c>
      <c r="D171" s="12">
        <v>788656</v>
      </c>
      <c r="E171" s="5" t="str">
        <f>_xlfn.XLOOKUP(D171,[1]!Tabela24[Código consultor],[1]!Tabela24[Consultor Venda],0,0,1)</f>
        <v>PAR - STB - PAP - JOY TELECOM - GABRIELA ALVES DE GODOY</v>
      </c>
      <c r="F171" s="5" t="str">
        <f>_xlfn.XLOOKUP(D171,[1]!Tabela24[Código consultor],[1]!Tabela24[Canal Consultor],0,0,1)</f>
        <v>PAR_DIG</v>
      </c>
      <c r="G171" s="10" t="str">
        <f>_xlfn.XLOOKUP(B171,[1]!Tabela1[[Cidades ]],[1]!Tabela1[Regional],0,0,1)</f>
        <v>Magno</v>
      </c>
      <c r="H171" s="13" t="str">
        <f>_xlfn.XLOOKUP(B171,[1]!Tabela1[[Cidades ]],[1]!Tabela1[Gerente],0,0,1)</f>
        <v>Demais coordenadores</v>
      </c>
    </row>
    <row r="172" spans="1:8" x14ac:dyDescent="0.3">
      <c r="A172" s="4" t="s">
        <v>456</v>
      </c>
      <c r="B172" s="5" t="s">
        <v>31</v>
      </c>
      <c r="C172" s="6">
        <v>45833</v>
      </c>
      <c r="D172" s="7">
        <v>827465</v>
      </c>
      <c r="E172" s="5" t="str">
        <f>_xlfn.XLOOKUP(D172,[1]!Tabela24[Código consultor],[1]!Tabela24[Consultor Venda],0,0,1)</f>
        <v>DIG - ATV - TAINARA RODRIGUES CORDEIRO</v>
      </c>
      <c r="F172" s="5" t="str">
        <f>_xlfn.XLOOKUP(D172,[1]!Tabela24[Código consultor],[1]!Tabela24[Canal Consultor],0,0,1)</f>
        <v>Televendas Ativo</v>
      </c>
      <c r="G172" s="5" t="str">
        <f>_xlfn.XLOOKUP(B172,[1]!Tabela1[[Cidades ]],[1]!Tabela1[Regional],0,0,1)</f>
        <v>Maycon</v>
      </c>
      <c r="H172" s="8" t="str">
        <f>_xlfn.XLOOKUP(B172,[1]!Tabela1[[Cidades ]],[1]!Tabela1[Gerente],0,0,1)</f>
        <v>Demais coordenadores</v>
      </c>
    </row>
    <row r="173" spans="1:8" x14ac:dyDescent="0.3">
      <c r="A173" s="9" t="s">
        <v>457</v>
      </c>
      <c r="B173" s="10" t="s">
        <v>13</v>
      </c>
      <c r="C173" s="11">
        <v>45833</v>
      </c>
      <c r="D173" s="12">
        <v>827465</v>
      </c>
      <c r="E173" s="5" t="str">
        <f>_xlfn.XLOOKUP(D173,[1]!Tabela24[Código consultor],[1]!Tabela24[Consultor Venda],0,0,1)</f>
        <v>DIG - ATV - TAINARA RODRIGUES CORDEIRO</v>
      </c>
      <c r="F173" s="5" t="str">
        <f>_xlfn.XLOOKUP(D173,[1]!Tabela24[Código consultor],[1]!Tabela24[Canal Consultor],0,0,1)</f>
        <v>Televendas Ativo</v>
      </c>
      <c r="G173" s="10" t="str">
        <f>_xlfn.XLOOKUP(B173,[1]!Tabela1[[Cidades ]],[1]!Tabela1[Regional],0,0,1)</f>
        <v>Alisson</v>
      </c>
      <c r="H173" s="13" t="str">
        <f>_xlfn.XLOOKUP(B173,[1]!Tabela1[[Cidades ]],[1]!Tabela1[Gerente],0,0,1)</f>
        <v>Ariana</v>
      </c>
    </row>
    <row r="174" spans="1:8" x14ac:dyDescent="0.3">
      <c r="A174" s="4" t="s">
        <v>458</v>
      </c>
      <c r="B174" s="5" t="s">
        <v>14</v>
      </c>
      <c r="C174" s="6">
        <v>45833</v>
      </c>
      <c r="D174" s="7">
        <v>827465</v>
      </c>
      <c r="E174" s="5" t="str">
        <f>_xlfn.XLOOKUP(D174,[1]!Tabela24[Código consultor],[1]!Tabela24[Consultor Venda],0,0,1)</f>
        <v>DIG - ATV - TAINARA RODRIGUES CORDEIRO</v>
      </c>
      <c r="F174" s="5" t="str">
        <f>_xlfn.XLOOKUP(D174,[1]!Tabela24[Código consultor],[1]!Tabela24[Canal Consultor],0,0,1)</f>
        <v>Televendas Ativo</v>
      </c>
      <c r="G174" s="5" t="str">
        <f>_xlfn.XLOOKUP(B174,[1]!Tabela1[[Cidades ]],[1]!Tabela1[Regional],0,0,1)</f>
        <v>Maycon</v>
      </c>
      <c r="H174" s="8" t="str">
        <f>_xlfn.XLOOKUP(B174,[1]!Tabela1[[Cidades ]],[1]!Tabela1[Gerente],0,0,1)</f>
        <v>Demais coordenadores</v>
      </c>
    </row>
    <row r="175" spans="1:8" x14ac:dyDescent="0.3">
      <c r="A175" s="9" t="s">
        <v>459</v>
      </c>
      <c r="B175" s="10" t="s">
        <v>45</v>
      </c>
      <c r="C175" s="11">
        <v>45833</v>
      </c>
      <c r="D175" s="12">
        <v>788656</v>
      </c>
      <c r="E175" s="5" t="str">
        <f>_xlfn.XLOOKUP(D175,[1]!Tabela24[Código consultor],[1]!Tabela24[Consultor Venda],0,0,1)</f>
        <v>PAR - STB - PAP - JOY TELECOM - GABRIELA ALVES DE GODOY</v>
      </c>
      <c r="F175" s="5" t="str">
        <f>_xlfn.XLOOKUP(D175,[1]!Tabela24[Código consultor],[1]!Tabela24[Canal Consultor],0,0,1)</f>
        <v>PAR_DIG</v>
      </c>
      <c r="G175" s="10" t="str">
        <f>_xlfn.XLOOKUP(B175,[1]!Tabela1[[Cidades ]],[1]!Tabela1[Regional],0,0,1)</f>
        <v>Jean</v>
      </c>
      <c r="H175" s="13" t="str">
        <f>_xlfn.XLOOKUP(B175,[1]!Tabela1[[Cidades ]],[1]!Tabela1[Gerente],0,0,1)</f>
        <v>Demais coordenadores</v>
      </c>
    </row>
    <row r="176" spans="1:8" x14ac:dyDescent="0.3">
      <c r="A176" s="4" t="s">
        <v>460</v>
      </c>
      <c r="B176" s="5" t="s">
        <v>11</v>
      </c>
      <c r="C176" s="6">
        <v>45833</v>
      </c>
      <c r="D176" s="7">
        <v>788656</v>
      </c>
      <c r="E176" s="5" t="str">
        <f>_xlfn.XLOOKUP(D176,[1]!Tabela24[Código consultor],[1]!Tabela24[Consultor Venda],0,0,1)</f>
        <v>PAR - STB - PAP - JOY TELECOM - GABRIELA ALVES DE GODOY</v>
      </c>
      <c r="F176" s="5" t="str">
        <f>_xlfn.XLOOKUP(D176,[1]!Tabela24[Código consultor],[1]!Tabela24[Canal Consultor],0,0,1)</f>
        <v>PAR_DIG</v>
      </c>
      <c r="G176" s="5" t="str">
        <f>_xlfn.XLOOKUP(B176,[1]!Tabela1[[Cidades ]],[1]!Tabela1[Regional],0,0,1)</f>
        <v>Magno</v>
      </c>
      <c r="H176" s="8" t="str">
        <f>_xlfn.XLOOKUP(B176,[1]!Tabela1[[Cidades ]],[1]!Tabela1[Gerente],0,0,1)</f>
        <v>Demais coordenadores</v>
      </c>
    </row>
    <row r="177" spans="1:8" x14ac:dyDescent="0.3">
      <c r="A177" s="9" t="s">
        <v>461</v>
      </c>
      <c r="B177" s="10" t="s">
        <v>13</v>
      </c>
      <c r="C177" s="11">
        <v>45833</v>
      </c>
      <c r="D177" s="12">
        <v>165769</v>
      </c>
      <c r="E177" s="5" t="str">
        <f>_xlfn.XLOOKUP(D177,[1]!Tabela24[Código consultor],[1]!Tabela24[Consultor Venda],0,0,1)</f>
        <v>PAR - PAP - GTI - THALIA SP - THALIA DA SILVA PEREIRA</v>
      </c>
      <c r="F177" s="5" t="str">
        <f>_xlfn.XLOOKUP(D177,[1]!Tabela24[Código consultor],[1]!Tabela24[Canal Consultor],0,0,1)</f>
        <v>PAR</v>
      </c>
      <c r="G177" s="10" t="str">
        <f>_xlfn.XLOOKUP(B177,[1]!Tabela1[[Cidades ]],[1]!Tabela1[Regional],0,0,1)</f>
        <v>Alisson</v>
      </c>
      <c r="H177" s="13" t="str">
        <f>_xlfn.XLOOKUP(B177,[1]!Tabela1[[Cidades ]],[1]!Tabela1[Gerente],0,0,1)</f>
        <v>Ariana</v>
      </c>
    </row>
    <row r="178" spans="1:8" x14ac:dyDescent="0.3">
      <c r="A178" s="4" t="s">
        <v>462</v>
      </c>
      <c r="B178" s="5" t="s">
        <v>22</v>
      </c>
      <c r="C178" s="6">
        <v>45833</v>
      </c>
      <c r="D178" s="7">
        <v>165769</v>
      </c>
      <c r="E178" s="5" t="str">
        <f>_xlfn.XLOOKUP(D178,[1]!Tabela24[Código consultor],[1]!Tabela24[Consultor Venda],0,0,1)</f>
        <v>PAR - PAP - GTI - THALIA SP - THALIA DA SILVA PEREIRA</v>
      </c>
      <c r="F178" s="5" t="str">
        <f>_xlfn.XLOOKUP(D178,[1]!Tabela24[Código consultor],[1]!Tabela24[Canal Consultor],0,0,1)</f>
        <v>PAR</v>
      </c>
      <c r="G178" s="5" t="str">
        <f>_xlfn.XLOOKUP(B178,[1]!Tabela1[[Cidades ]],[1]!Tabela1[Regional],0,0,1)</f>
        <v>Magno</v>
      </c>
      <c r="H178" s="8" t="str">
        <f>_xlfn.XLOOKUP(B178,[1]!Tabela1[[Cidades ]],[1]!Tabela1[Gerente],0,0,1)</f>
        <v>Demais coordenadores</v>
      </c>
    </row>
    <row r="179" spans="1:8" x14ac:dyDescent="0.3">
      <c r="A179" s="9" t="s">
        <v>463</v>
      </c>
      <c r="B179" s="10" t="s">
        <v>10</v>
      </c>
      <c r="C179" s="11">
        <v>45833</v>
      </c>
      <c r="D179" s="12">
        <v>525458</v>
      </c>
      <c r="E179" s="5" t="str">
        <f>_xlfn.XLOOKUP(D179,[1]!Tabela24[Código consultor],[1]!Tabela24[Consultor Venda],0,0,1)</f>
        <v>PAR - ADM - GRP - FIGUEREDO MOBILE  - JOSELIO O. P. JUNIOR</v>
      </c>
      <c r="F179" s="5" t="str">
        <f>_xlfn.XLOOKUP(D179,[1]!Tabela24[Código consultor],[1]!Tabela24[Canal Consultor],0,0,1)</f>
        <v>PAR</v>
      </c>
      <c r="G179" s="10" t="str">
        <f>_xlfn.XLOOKUP(B179,[1]!Tabela1[[Cidades ]],[1]!Tabela1[Regional],0,0,1)</f>
        <v>Jean</v>
      </c>
      <c r="H179" s="13" t="str">
        <f>_xlfn.XLOOKUP(B179,[1]!Tabela1[[Cidades ]],[1]!Tabela1[Gerente],0,0,1)</f>
        <v>Demais coordenadores</v>
      </c>
    </row>
    <row r="180" spans="1:8" x14ac:dyDescent="0.3">
      <c r="A180" s="4" t="s">
        <v>464</v>
      </c>
      <c r="B180" s="5" t="s">
        <v>19</v>
      </c>
      <c r="C180" s="6">
        <v>45833</v>
      </c>
      <c r="D180" s="7">
        <v>781646</v>
      </c>
      <c r="E180" s="5" t="str">
        <f>_xlfn.XLOOKUP(D180,[1]!Tabela24[Código consultor],[1]!Tabela24[Consultor Venda],0,0,1)</f>
        <v>COM - CHN - EDUARDA BECKER RANGEL</v>
      </c>
      <c r="F180" s="5" t="str">
        <f>_xlfn.XLOOKUP(D180,[1]!Tabela24[Código consultor],[1]!Tabela24[Canal Consultor],0,0,1)</f>
        <v>Pap</v>
      </c>
      <c r="G180" s="5" t="str">
        <f>_xlfn.XLOOKUP(B180,[1]!Tabela1[[Cidades ]],[1]!Tabela1[Regional],0,0,1)</f>
        <v>Magno</v>
      </c>
      <c r="H180" s="8" t="str">
        <f>_xlfn.XLOOKUP(B180,[1]!Tabela1[[Cidades ]],[1]!Tabela1[Gerente],0,0,1)</f>
        <v>Demais coordenadores</v>
      </c>
    </row>
    <row r="181" spans="1:8" x14ac:dyDescent="0.3">
      <c r="A181" s="9" t="s">
        <v>465</v>
      </c>
      <c r="B181" s="10" t="s">
        <v>22</v>
      </c>
      <c r="C181" s="11">
        <v>45833</v>
      </c>
      <c r="D181" s="12">
        <v>262158</v>
      </c>
      <c r="E181" s="5" t="str">
        <f>_xlfn.XLOOKUP(D181,[1]!Tabela24[Código consultor],[1]!Tabela24[Consultor Venda],0,0,1)</f>
        <v>O&amp;M - SCR - TEC - CRISTIAN ISRAEL THEISEN</v>
      </c>
      <c r="F181" s="5" t="str">
        <f>_xlfn.XLOOKUP(D181,[1]!Tabela24[Código consultor],[1]!Tabela24[Canal Consultor],0,0,1)</f>
        <v>ADM Interno</v>
      </c>
      <c r="G181" s="10" t="str">
        <f>_xlfn.XLOOKUP(B181,[1]!Tabela1[[Cidades ]],[1]!Tabela1[Regional],0,0,1)</f>
        <v>Magno</v>
      </c>
      <c r="H181" s="13" t="str">
        <f>_xlfn.XLOOKUP(B181,[1]!Tabela1[[Cidades ]],[1]!Tabela1[Gerente],0,0,1)</f>
        <v>Demais coordenadores</v>
      </c>
    </row>
    <row r="182" spans="1:8" x14ac:dyDescent="0.3">
      <c r="A182" s="4" t="s">
        <v>466</v>
      </c>
      <c r="B182" s="5" t="s">
        <v>22</v>
      </c>
      <c r="C182" s="6">
        <v>45833</v>
      </c>
      <c r="D182" s="7">
        <v>262158</v>
      </c>
      <c r="E182" s="5" t="str">
        <f>_xlfn.XLOOKUP(D182,[1]!Tabela24[Código consultor],[1]!Tabela24[Consultor Venda],0,0,1)</f>
        <v>O&amp;M - SCR - TEC - CRISTIAN ISRAEL THEISEN</v>
      </c>
      <c r="F182" s="5" t="str">
        <f>_xlfn.XLOOKUP(D182,[1]!Tabela24[Código consultor],[1]!Tabela24[Canal Consultor],0,0,1)</f>
        <v>ADM Interno</v>
      </c>
      <c r="G182" s="5" t="str">
        <f>_xlfn.XLOOKUP(B182,[1]!Tabela1[[Cidades ]],[1]!Tabela1[Regional],0,0,1)</f>
        <v>Magno</v>
      </c>
      <c r="H182" s="8" t="str">
        <f>_xlfn.XLOOKUP(B182,[1]!Tabela1[[Cidades ]],[1]!Tabela1[Gerente],0,0,1)</f>
        <v>Demais coordenadores</v>
      </c>
    </row>
    <row r="183" spans="1:8" x14ac:dyDescent="0.3">
      <c r="A183" s="9" t="s">
        <v>336</v>
      </c>
      <c r="B183" s="10" t="s">
        <v>11</v>
      </c>
      <c r="C183" s="11">
        <v>45833</v>
      </c>
      <c r="D183" s="12">
        <v>691859</v>
      </c>
      <c r="E183" s="5" t="str">
        <f>_xlfn.XLOOKUP(D183,[1]!Tabela24[Código consultor],[1]!Tabela24[Consultor Venda],0,0,1)</f>
        <v>COM - GTI - SERGIO GABRIEL GOMES NERVIS</v>
      </c>
      <c r="F183" s="5" t="str">
        <f>_xlfn.XLOOKUP(D183,[1]!Tabela24[Código consultor],[1]!Tabela24[Canal Consultor],0,0,1)</f>
        <v>Pap</v>
      </c>
      <c r="G183" s="10" t="str">
        <f>_xlfn.XLOOKUP(B183,[1]!Tabela1[[Cidades ]],[1]!Tabela1[Regional],0,0,1)</f>
        <v>Magno</v>
      </c>
      <c r="H183" s="13" t="str">
        <f>_xlfn.XLOOKUP(B183,[1]!Tabela1[[Cidades ]],[1]!Tabela1[Gerente],0,0,1)</f>
        <v>Demais coordenadores</v>
      </c>
    </row>
    <row r="184" spans="1:8" x14ac:dyDescent="0.3">
      <c r="A184" s="4" t="s">
        <v>467</v>
      </c>
      <c r="B184" s="5" t="s">
        <v>22</v>
      </c>
      <c r="C184" s="6">
        <v>45833</v>
      </c>
      <c r="D184" s="7">
        <v>694166</v>
      </c>
      <c r="E184" s="5" t="str">
        <f>_xlfn.XLOOKUP(D184,[1]!Tabela24[Código consultor],[1]!Tabela24[Consultor Venda],0,0,1)</f>
        <v>DIG - CCO - CARINE CORREA SOARES</v>
      </c>
      <c r="F184" s="5" t="str">
        <f>_xlfn.XLOOKUP(D184,[1]!Tabela24[Código consultor],[1]!Tabela24[Canal Consultor],0,0,1)</f>
        <v>DIGITAL</v>
      </c>
      <c r="G184" s="5" t="str">
        <f>_xlfn.XLOOKUP(B184,[1]!Tabela1[[Cidades ]],[1]!Tabela1[Regional],0,0,1)</f>
        <v>Magno</v>
      </c>
      <c r="H184" s="8" t="str">
        <f>_xlfn.XLOOKUP(B184,[1]!Tabela1[[Cidades ]],[1]!Tabela1[Gerente],0,0,1)</f>
        <v>Demais coordenadores</v>
      </c>
    </row>
    <row r="185" spans="1:8" x14ac:dyDescent="0.3">
      <c r="A185" s="9" t="s">
        <v>468</v>
      </c>
      <c r="B185" s="10" t="s">
        <v>17</v>
      </c>
      <c r="C185" s="11">
        <v>45833</v>
      </c>
      <c r="D185" s="12">
        <v>404528</v>
      </c>
      <c r="E185" s="5" t="str">
        <f>_xlfn.XLOOKUP(D185,[1]!Tabela24[Código consultor],[1]!Tabela24[Consultor Venda],0,0,1)</f>
        <v>COM - ERE - PATRICIA LAUTERT PIOTROWSKY</v>
      </c>
      <c r="F185" s="5" t="str">
        <f>_xlfn.XLOOKUP(D185,[1]!Tabela24[Código consultor],[1]!Tabela24[Canal Consultor],0,0,1)</f>
        <v>INTERNO</v>
      </c>
      <c r="G185" s="10" t="str">
        <f>_xlfn.XLOOKUP(B185,[1]!Tabela1[[Cidades ]],[1]!Tabela1[Regional],0,0,1)</f>
        <v>Alisson</v>
      </c>
      <c r="H185" s="13" t="str">
        <f>_xlfn.XLOOKUP(B185,[1]!Tabela1[[Cidades ]],[1]!Tabela1[Gerente],0,0,1)</f>
        <v>Ariana</v>
      </c>
    </row>
    <row r="186" spans="1:8" x14ac:dyDescent="0.3">
      <c r="A186" s="4" t="s">
        <v>469</v>
      </c>
      <c r="B186" s="5" t="s">
        <v>11</v>
      </c>
      <c r="C186" s="6">
        <v>45833</v>
      </c>
      <c r="D186" s="7">
        <v>861705</v>
      </c>
      <c r="E186" s="5" t="str">
        <f>_xlfn.XLOOKUP(D186,[1]!Tabela24[Código consultor],[1]!Tabela24[Consultor Venda],0,0,1)</f>
        <v>PAR - COM - PAP - TQR - ERIKA DE OLIVEIRA GALLE</v>
      </c>
      <c r="F186" s="5" t="str">
        <f>_xlfn.XLOOKUP(D186,[1]!Tabela24[Código consultor],[1]!Tabela24[Canal Consultor],0,0,1)</f>
        <v>PAR</v>
      </c>
      <c r="G186" s="5" t="str">
        <f>_xlfn.XLOOKUP(B186,[1]!Tabela1[[Cidades ]],[1]!Tabela1[Regional],0,0,1)</f>
        <v>Magno</v>
      </c>
      <c r="H186" s="8" t="str">
        <f>_xlfn.XLOOKUP(B186,[1]!Tabela1[[Cidades ]],[1]!Tabela1[Gerente],0,0,1)</f>
        <v>Demais coordenadores</v>
      </c>
    </row>
    <row r="187" spans="1:8" x14ac:dyDescent="0.3">
      <c r="A187" s="9" t="s">
        <v>338</v>
      </c>
      <c r="B187" s="10" t="s">
        <v>24</v>
      </c>
      <c r="C187" s="11">
        <v>45833</v>
      </c>
      <c r="D187" s="12">
        <v>608355</v>
      </c>
      <c r="E187" s="5" t="str">
        <f>_xlfn.XLOOKUP(D187,[1]!Tabela24[Código consultor],[1]!Tabela24[Consultor Venda],0,0,1)</f>
        <v>COM - SMA - JANAINA SEBBEN DOS SANTOS</v>
      </c>
      <c r="F187" s="5" t="str">
        <f>_xlfn.XLOOKUP(D187,[1]!Tabela24[Código consultor],[1]!Tabela24[Canal Consultor],0,0,1)</f>
        <v>INTERNO</v>
      </c>
      <c r="G187" s="10" t="str">
        <f>_xlfn.XLOOKUP(B187,[1]!Tabela1[[Cidades ]],[1]!Tabela1[Regional],0,0,1)</f>
        <v>Magno</v>
      </c>
      <c r="H187" s="13" t="str">
        <f>_xlfn.XLOOKUP(B187,[1]!Tabela1[[Cidades ]],[1]!Tabela1[Gerente],0,0,1)</f>
        <v>Demais coordenadores</v>
      </c>
    </row>
    <row r="188" spans="1:8" x14ac:dyDescent="0.3">
      <c r="A188" s="4" t="s">
        <v>470</v>
      </c>
      <c r="B188" s="5" t="s">
        <v>16</v>
      </c>
      <c r="C188" s="6">
        <v>45833</v>
      </c>
      <c r="D188" s="7">
        <v>788656</v>
      </c>
      <c r="E188" s="5" t="str">
        <f>_xlfn.XLOOKUP(D188,[1]!Tabela24[Código consultor],[1]!Tabela24[Consultor Venda],0,0,1)</f>
        <v>PAR - STB - PAP - JOY TELECOM - GABRIELA ALVES DE GODOY</v>
      </c>
      <c r="F188" s="5" t="str">
        <f>_xlfn.XLOOKUP(D188,[1]!Tabela24[Código consultor],[1]!Tabela24[Canal Consultor],0,0,1)</f>
        <v>PAR_DIG</v>
      </c>
      <c r="G188" s="5" t="str">
        <f>_xlfn.XLOOKUP(B188,[1]!Tabela1[[Cidades ]],[1]!Tabela1[Regional],0,0,1)</f>
        <v>Magno</v>
      </c>
      <c r="H188" s="8" t="str">
        <f>_xlfn.XLOOKUP(B188,[1]!Tabela1[[Cidades ]],[1]!Tabela1[Gerente],0,0,1)</f>
        <v>Demais coordenadores</v>
      </c>
    </row>
    <row r="189" spans="1:8" x14ac:dyDescent="0.3">
      <c r="A189" s="9" t="s">
        <v>471</v>
      </c>
      <c r="B189" s="10" t="s">
        <v>13</v>
      </c>
      <c r="C189" s="11">
        <v>45833</v>
      </c>
      <c r="D189" s="12">
        <v>825133</v>
      </c>
      <c r="E189" s="5" t="str">
        <f>_xlfn.XLOOKUP(D189,[1]!Tabela24[Código consultor],[1]!Tabela24[Consultor Venda],0,0,1)</f>
        <v>COM - PAS - PAOLA PERREIRA OLIVEIRA</v>
      </c>
      <c r="F189" s="5" t="str">
        <f>_xlfn.XLOOKUP(D189,[1]!Tabela24[Código consultor],[1]!Tabela24[Canal Consultor],0,0,1)</f>
        <v>Pap</v>
      </c>
      <c r="G189" s="10" t="str">
        <f>_xlfn.XLOOKUP(B189,[1]!Tabela1[[Cidades ]],[1]!Tabela1[Regional],0,0,1)</f>
        <v>Alisson</v>
      </c>
      <c r="H189" s="13" t="str">
        <f>_xlfn.XLOOKUP(B189,[1]!Tabela1[[Cidades ]],[1]!Tabela1[Gerente],0,0,1)</f>
        <v>Ariana</v>
      </c>
    </row>
    <row r="190" spans="1:8" x14ac:dyDescent="0.3">
      <c r="A190" s="4" t="s">
        <v>339</v>
      </c>
      <c r="B190" s="5" t="s">
        <v>53</v>
      </c>
      <c r="C190" s="6">
        <v>45833</v>
      </c>
      <c r="D190" s="7">
        <v>235841</v>
      </c>
      <c r="E190" s="5" t="str">
        <f>_xlfn.XLOOKUP(D190,[1]!Tabela24[Código consultor],[1]!Tabela24[Consultor Venda],0,0,1)</f>
        <v>DIG - CCO - KAUANA BONI</v>
      </c>
      <c r="F190" s="5" t="str">
        <f>_xlfn.XLOOKUP(D190,[1]!Tabela24[Código consultor],[1]!Tabela24[Canal Consultor],0,0,1)</f>
        <v>DIGITAL</v>
      </c>
      <c r="G190" s="5" t="str">
        <f>_xlfn.XLOOKUP(B190,[1]!Tabela1[[Cidades ]],[1]!Tabela1[Regional],0,0,1)</f>
        <v>Adilson</v>
      </c>
      <c r="H190" s="8" t="str">
        <f>_xlfn.XLOOKUP(B190,[1]!Tabela1[[Cidades ]],[1]!Tabela1[Gerente],0,0,1)</f>
        <v>Demais coordenadores</v>
      </c>
    </row>
    <row r="191" spans="1:8" x14ac:dyDescent="0.3">
      <c r="A191" s="9" t="s">
        <v>472</v>
      </c>
      <c r="B191" s="10" t="s">
        <v>32</v>
      </c>
      <c r="C191" s="11">
        <v>45833</v>
      </c>
      <c r="D191" s="12">
        <v>576121</v>
      </c>
      <c r="E191" s="5" t="str">
        <f>_xlfn.XLOOKUP(D191,[1]!Tabela24[Código consultor],[1]!Tabela24[Consultor Venda],0,0,1)</f>
        <v>COM - IGA - LEONARDO XAVIER GOMES</v>
      </c>
      <c r="F191" s="5" t="str">
        <f>_xlfn.XLOOKUP(D191,[1]!Tabela24[Código consultor],[1]!Tabela24[Canal Consultor],0,0,1)</f>
        <v>Pap</v>
      </c>
      <c r="G191" s="10" t="str">
        <f>_xlfn.XLOOKUP(B191,[1]!Tabela1[[Cidades ]],[1]!Tabela1[Regional],0,0,1)</f>
        <v>Jean</v>
      </c>
      <c r="H191" s="13" t="str">
        <f>_xlfn.XLOOKUP(B191,[1]!Tabela1[[Cidades ]],[1]!Tabela1[Gerente],0,0,1)</f>
        <v>Demais coordenadores</v>
      </c>
    </row>
    <row r="192" spans="1:8" x14ac:dyDescent="0.3">
      <c r="A192" s="4" t="s">
        <v>473</v>
      </c>
      <c r="B192" s="5" t="s">
        <v>10</v>
      </c>
      <c r="C192" s="6">
        <v>45833</v>
      </c>
      <c r="D192" s="7">
        <v>794227</v>
      </c>
      <c r="E192" s="5" t="str">
        <f>_xlfn.XLOOKUP(D192,[1]!Tabela24[Código consultor],[1]!Tabela24[Consultor Venda],0,0,1)</f>
        <v>PAR - PAP - TECH PERFORMANCE - Dario de Oliveira</v>
      </c>
      <c r="F192" s="5" t="str">
        <f>_xlfn.XLOOKUP(D192,[1]!Tabela24[Código consultor],[1]!Tabela24[Canal Consultor],0,0,1)</f>
        <v>Par</v>
      </c>
      <c r="G192" s="5" t="str">
        <f>_xlfn.XLOOKUP(B192,[1]!Tabela1[[Cidades ]],[1]!Tabela1[Regional],0,0,1)</f>
        <v>Jean</v>
      </c>
      <c r="H192" s="8" t="str">
        <f>_xlfn.XLOOKUP(B192,[1]!Tabela1[[Cidades ]],[1]!Tabela1[Gerente],0,0,1)</f>
        <v>Demais coordenadores</v>
      </c>
    </row>
    <row r="193" spans="1:8" x14ac:dyDescent="0.3">
      <c r="A193" s="9" t="s">
        <v>474</v>
      </c>
      <c r="B193" s="10" t="s">
        <v>86</v>
      </c>
      <c r="C193" s="11">
        <v>45833</v>
      </c>
      <c r="D193" s="12">
        <v>86784</v>
      </c>
      <c r="E193" s="5" t="str">
        <f>_xlfn.XLOOKUP(D193,[1]!Tabela24[Código consultor],[1]!Tabela24[Consultor Venda],0,0,1)</f>
        <v>PAR - INTE - SBU - INFOTCHE ZENATTI - JOAO VITOR MAIA</v>
      </c>
      <c r="F193" s="5" t="str">
        <f>_xlfn.XLOOKUP(D193,[1]!Tabela24[Código consultor],[1]!Tabela24[Canal Consultor],0,0,1)</f>
        <v>PAR</v>
      </c>
      <c r="G193" s="10" t="str">
        <f>_xlfn.XLOOKUP(B193,[1]!Tabela1[[Cidades ]],[1]!Tabela1[Regional],0,0,1)</f>
        <v>Alisson</v>
      </c>
      <c r="H193" s="13" t="str">
        <f>_xlfn.XLOOKUP(B193,[1]!Tabela1[[Cidades ]],[1]!Tabela1[Gerente],0,0,1)</f>
        <v>Helena</v>
      </c>
    </row>
    <row r="194" spans="1:8" x14ac:dyDescent="0.3">
      <c r="A194" s="4" t="s">
        <v>341</v>
      </c>
      <c r="B194" s="5" t="s">
        <v>38</v>
      </c>
      <c r="C194" s="6">
        <v>45833</v>
      </c>
      <c r="D194" s="7">
        <v>559912</v>
      </c>
      <c r="E194" s="5" t="str">
        <f>_xlfn.XLOOKUP(D194,[1]!Tabela24[Código consultor],[1]!Tabela24[Consultor Venda],0,0,1)</f>
        <v>COM - TEB - DEVAIR DE JESUS TALEVI</v>
      </c>
      <c r="F194" s="5" t="str">
        <f>_xlfn.XLOOKUP(D194,[1]!Tabela24[Código consultor],[1]!Tabela24[Canal Consultor],0,0,1)</f>
        <v>Pap</v>
      </c>
      <c r="G194" s="5" t="str">
        <f>_xlfn.XLOOKUP(B194,[1]!Tabela1[[Cidades ]],[1]!Tabela1[Regional],0,0,1)</f>
        <v>Jean</v>
      </c>
      <c r="H194" s="8" t="str">
        <f>_xlfn.XLOOKUP(B194,[1]!Tabela1[[Cidades ]],[1]!Tabela1[Gerente],0,0,1)</f>
        <v>Demais coordenadores</v>
      </c>
    </row>
    <row r="195" spans="1:8" x14ac:dyDescent="0.3">
      <c r="A195" s="9" t="s">
        <v>342</v>
      </c>
      <c r="B195" s="10" t="s">
        <v>10</v>
      </c>
      <c r="C195" s="11">
        <v>45833</v>
      </c>
      <c r="D195" s="12">
        <v>233138</v>
      </c>
      <c r="E195" s="5" t="str">
        <f>_xlfn.XLOOKUP(D195,[1]!Tabela24[Código consultor],[1]!Tabela24[Consultor Venda],0,0,1)</f>
        <v>PAR - INTE - GRP - MOBILE HD - ALINE KARNOSKI</v>
      </c>
      <c r="F195" s="5" t="str">
        <f>_xlfn.XLOOKUP(D195,[1]!Tabela24[Código consultor],[1]!Tabela24[Canal Consultor],0,0,1)</f>
        <v>PAR</v>
      </c>
      <c r="G195" s="10" t="str">
        <f>_xlfn.XLOOKUP(B195,[1]!Tabela1[[Cidades ]],[1]!Tabela1[Regional],0,0,1)</f>
        <v>Jean</v>
      </c>
      <c r="H195" s="13" t="str">
        <f>_xlfn.XLOOKUP(B195,[1]!Tabela1[[Cidades ]],[1]!Tabela1[Gerente],0,0,1)</f>
        <v>Demais coordenadores</v>
      </c>
    </row>
    <row r="196" spans="1:8" x14ac:dyDescent="0.3">
      <c r="A196" s="4" t="s">
        <v>342</v>
      </c>
      <c r="B196" s="5" t="s">
        <v>10</v>
      </c>
      <c r="C196" s="6">
        <v>45833</v>
      </c>
      <c r="D196" s="7">
        <v>233138</v>
      </c>
      <c r="E196" s="5" t="str">
        <f>_xlfn.XLOOKUP(D196,[1]!Tabela24[Código consultor],[1]!Tabela24[Consultor Venda],0,0,1)</f>
        <v>PAR - INTE - GRP - MOBILE HD - ALINE KARNOSKI</v>
      </c>
      <c r="F196" s="5" t="str">
        <f>_xlfn.XLOOKUP(D196,[1]!Tabela24[Código consultor],[1]!Tabela24[Canal Consultor],0,0,1)</f>
        <v>PAR</v>
      </c>
      <c r="G196" s="5" t="str">
        <f>_xlfn.XLOOKUP(B196,[1]!Tabela1[[Cidades ]],[1]!Tabela1[Regional],0,0,1)</f>
        <v>Jean</v>
      </c>
      <c r="H196" s="8" t="str">
        <f>_xlfn.XLOOKUP(B196,[1]!Tabela1[[Cidades ]],[1]!Tabela1[Gerente],0,0,1)</f>
        <v>Demais coordenadores</v>
      </c>
    </row>
    <row r="197" spans="1:8" x14ac:dyDescent="0.3">
      <c r="A197" s="9" t="s">
        <v>475</v>
      </c>
      <c r="B197" s="10" t="s">
        <v>32</v>
      </c>
      <c r="C197" s="11">
        <v>45833</v>
      </c>
      <c r="D197" s="12">
        <v>885453</v>
      </c>
      <c r="E197" s="5" t="str">
        <f>_xlfn.XLOOKUP(D197,[1]!Tabela24[Código consultor],[1]!Tabela24[Consultor Venda],0,0,1)</f>
        <v>COM - IGA - EMILY PRISCILA BRAZ VIANA</v>
      </c>
      <c r="F197" s="5" t="str">
        <f>_xlfn.XLOOKUP(D197,[1]!Tabela24[Código consultor],[1]!Tabela24[Canal Consultor],0,0,1)</f>
        <v>Pap</v>
      </c>
      <c r="G197" s="10" t="str">
        <f>_xlfn.XLOOKUP(B197,[1]!Tabela1[[Cidades ]],[1]!Tabela1[Regional],0,0,1)</f>
        <v>Jean</v>
      </c>
      <c r="H197" s="13" t="str">
        <f>_xlfn.XLOOKUP(B197,[1]!Tabela1[[Cidades ]],[1]!Tabela1[Gerente],0,0,1)</f>
        <v>Demais coordenadores</v>
      </c>
    </row>
    <row r="198" spans="1:8" x14ac:dyDescent="0.3">
      <c r="A198" s="4" t="s">
        <v>476</v>
      </c>
      <c r="B198" s="5" t="s">
        <v>12</v>
      </c>
      <c r="C198" s="6">
        <v>45833</v>
      </c>
      <c r="D198" s="7">
        <v>600710</v>
      </c>
      <c r="E198" s="5" t="str">
        <f>_xlfn.XLOOKUP(D198,[1]!Tabela24[Código consultor],[1]!Tabela24[Consultor Venda],0,0,1)</f>
        <v>DIG - CCO - BRUNA BALBINOTTI</v>
      </c>
      <c r="F198" s="5" t="str">
        <f>_xlfn.XLOOKUP(D198,[1]!Tabela24[Código consultor],[1]!Tabela24[Canal Consultor],0,0,1)</f>
        <v>DIGITAL</v>
      </c>
      <c r="G198" s="5" t="str">
        <f>_xlfn.XLOOKUP(B198,[1]!Tabela1[[Cidades ]],[1]!Tabela1[Regional],0,0,1)</f>
        <v>Jean</v>
      </c>
      <c r="H198" s="8" t="str">
        <f>_xlfn.XLOOKUP(B198,[1]!Tabela1[[Cidades ]],[1]!Tabela1[Gerente],0,0,1)</f>
        <v>Demais coordenadores</v>
      </c>
    </row>
    <row r="199" spans="1:8" x14ac:dyDescent="0.3">
      <c r="A199" s="9" t="s">
        <v>477</v>
      </c>
      <c r="B199" s="10" t="s">
        <v>32</v>
      </c>
      <c r="C199" s="11">
        <v>45833</v>
      </c>
      <c r="D199" s="12">
        <v>610972</v>
      </c>
      <c r="E199" s="5" t="str">
        <f>_xlfn.XLOOKUP(D199,[1]!Tabela24[Código consultor],[1]!Tabela24[Consultor Venda],0,0,1)</f>
        <v>COM - CPB - MARINARA SOUZA DE OLIVEIRA</v>
      </c>
      <c r="F199" s="5" t="str">
        <f>_xlfn.XLOOKUP(D199,[1]!Tabela24[Código consultor],[1]!Tabela24[Canal Consultor],0,0,1)</f>
        <v>INTERNO</v>
      </c>
      <c r="G199" s="10" t="str">
        <f>_xlfn.XLOOKUP(B199,[1]!Tabela1[[Cidades ]],[1]!Tabela1[Regional],0,0,1)</f>
        <v>Jean</v>
      </c>
      <c r="H199" s="13" t="str">
        <f>_xlfn.XLOOKUP(B199,[1]!Tabela1[[Cidades ]],[1]!Tabela1[Gerente],0,0,1)</f>
        <v>Demais coordenadores</v>
      </c>
    </row>
    <row r="200" spans="1:8" x14ac:dyDescent="0.3">
      <c r="A200" s="4" t="s">
        <v>343</v>
      </c>
      <c r="B200" s="5" t="s">
        <v>31</v>
      </c>
      <c r="C200" s="6">
        <v>45833</v>
      </c>
      <c r="D200" s="7">
        <v>666428</v>
      </c>
      <c r="E200" s="5" t="str">
        <f>_xlfn.XLOOKUP(D200,[1]!Tabela24[Código consultor],[1]!Tabela24[Consultor Venda],0,0,1)</f>
        <v>COM - CCO - ALESANDRA FRANCA CAMINERO</v>
      </c>
      <c r="F200" s="5" t="str">
        <f>_xlfn.XLOOKUP(D200,[1]!Tabela24[Código consultor],[1]!Tabela24[Canal Consultor],0,0,1)</f>
        <v>INTERNO</v>
      </c>
      <c r="G200" s="5" t="str">
        <f>_xlfn.XLOOKUP(B200,[1]!Tabela1[[Cidades ]],[1]!Tabela1[Regional],0,0,1)</f>
        <v>Maycon</v>
      </c>
      <c r="H200" s="8" t="str">
        <f>_xlfn.XLOOKUP(B200,[1]!Tabela1[[Cidades ]],[1]!Tabela1[Gerente],0,0,1)</f>
        <v>Demais coordenadores</v>
      </c>
    </row>
    <row r="201" spans="1:8" x14ac:dyDescent="0.3">
      <c r="A201" s="9" t="s">
        <v>478</v>
      </c>
      <c r="B201" s="10" t="s">
        <v>12</v>
      </c>
      <c r="C201" s="11">
        <v>45833</v>
      </c>
      <c r="D201" s="12">
        <v>879203</v>
      </c>
      <c r="E201" s="5" t="str">
        <f>_xlfn.XLOOKUP(D201,[1]!Tabela24[Código consultor],[1]!Tabela24[Consultor Venda],0,0,1)</f>
        <v>PAR - SOC - COM - ALMAVIVA EXPERIENCE - MARCO AURELIO COSTA</v>
      </c>
      <c r="F201" s="5" t="str">
        <f>_xlfn.XLOOKUP(D201,[1]!Tabela24[Código consultor],[1]!Tabela24[Canal Consultor],0,0,1)</f>
        <v>Par</v>
      </c>
      <c r="G201" s="10" t="str">
        <f>_xlfn.XLOOKUP(B201,[1]!Tabela1[[Cidades ]],[1]!Tabela1[Regional],0,0,1)</f>
        <v>Jean</v>
      </c>
      <c r="H201" s="13" t="str">
        <f>_xlfn.XLOOKUP(B201,[1]!Tabela1[[Cidades ]],[1]!Tabela1[Gerente],0,0,1)</f>
        <v>Demais coordenadores</v>
      </c>
    </row>
    <row r="202" spans="1:8" x14ac:dyDescent="0.3">
      <c r="A202" s="4" t="s">
        <v>479</v>
      </c>
      <c r="B202" s="5" t="s">
        <v>24</v>
      </c>
      <c r="C202" s="6">
        <v>45833</v>
      </c>
      <c r="D202" s="7">
        <v>877649</v>
      </c>
      <c r="E202" s="5" t="str">
        <f>_xlfn.XLOOKUP(D202,[1]!Tabela24[Código consultor],[1]!Tabela24[Consultor Venda],0,0,1)</f>
        <v>COM - SMA - NIKOLAS GUTERRES COMIN</v>
      </c>
      <c r="F202" s="5" t="str">
        <f>_xlfn.XLOOKUP(D202,[1]!Tabela24[Código consultor],[1]!Tabela24[Canal Consultor],0,0,1)</f>
        <v>Pap</v>
      </c>
      <c r="G202" s="5" t="str">
        <f>_xlfn.XLOOKUP(B202,[1]!Tabela1[[Cidades ]],[1]!Tabela1[Regional],0,0,1)</f>
        <v>Magno</v>
      </c>
      <c r="H202" s="8" t="str">
        <f>_xlfn.XLOOKUP(B202,[1]!Tabela1[[Cidades ]],[1]!Tabela1[Gerente],0,0,1)</f>
        <v>Demais coordenadores</v>
      </c>
    </row>
    <row r="203" spans="1:8" x14ac:dyDescent="0.3">
      <c r="A203" s="9" t="s">
        <v>480</v>
      </c>
      <c r="B203" s="10" t="s">
        <v>31</v>
      </c>
      <c r="C203" s="11">
        <v>45833</v>
      </c>
      <c r="D203" s="12">
        <v>647350</v>
      </c>
      <c r="E203" s="5" t="str">
        <f>_xlfn.XLOOKUP(D203,[1]!Tabela24[Código consultor],[1]!Tabela24[Consultor Venda],0,0,1)</f>
        <v>COM - CCO - MILENA CAROLINA CARVALHO DE LIMA</v>
      </c>
      <c r="F203" s="5" t="str">
        <f>_xlfn.XLOOKUP(D203,[1]!Tabela24[Código consultor],[1]!Tabela24[Canal Consultor],0,0,1)</f>
        <v>INTERNO</v>
      </c>
      <c r="G203" s="10" t="str">
        <f>_xlfn.XLOOKUP(B203,[1]!Tabela1[[Cidades ]],[1]!Tabela1[Regional],0,0,1)</f>
        <v>Maycon</v>
      </c>
      <c r="H203" s="13" t="str">
        <f>_xlfn.XLOOKUP(B203,[1]!Tabela1[[Cidades ]],[1]!Tabela1[Gerente],0,0,1)</f>
        <v>Demais coordenadores</v>
      </c>
    </row>
    <row r="204" spans="1:8" x14ac:dyDescent="0.3">
      <c r="A204" s="4" t="s">
        <v>481</v>
      </c>
      <c r="B204" s="5" t="s">
        <v>24</v>
      </c>
      <c r="C204" s="6">
        <v>45833</v>
      </c>
      <c r="D204" s="7">
        <v>877649</v>
      </c>
      <c r="E204" s="5" t="str">
        <f>_xlfn.XLOOKUP(D204,[1]!Tabela24[Código consultor],[1]!Tabela24[Consultor Venda],0,0,1)</f>
        <v>COM - SMA - NIKOLAS GUTERRES COMIN</v>
      </c>
      <c r="F204" s="5" t="str">
        <f>_xlfn.XLOOKUP(D204,[1]!Tabela24[Código consultor],[1]!Tabela24[Canal Consultor],0,0,1)</f>
        <v>Pap</v>
      </c>
      <c r="G204" s="5" t="str">
        <f>_xlfn.XLOOKUP(B204,[1]!Tabela1[[Cidades ]],[1]!Tabela1[Regional],0,0,1)</f>
        <v>Magno</v>
      </c>
      <c r="H204" s="8" t="str">
        <f>_xlfn.XLOOKUP(B204,[1]!Tabela1[[Cidades ]],[1]!Tabela1[Gerente],0,0,1)</f>
        <v>Demais coordenadores</v>
      </c>
    </row>
    <row r="205" spans="1:8" x14ac:dyDescent="0.3">
      <c r="A205" s="9" t="s">
        <v>345</v>
      </c>
      <c r="B205" s="10" t="s">
        <v>27</v>
      </c>
      <c r="C205" s="11">
        <v>45833</v>
      </c>
      <c r="D205" s="12">
        <v>788656</v>
      </c>
      <c r="E205" s="5" t="str">
        <f>_xlfn.XLOOKUP(D205,[1]!Tabela24[Código consultor],[1]!Tabela24[Consultor Venda],0,0,1)</f>
        <v>PAR - STB - PAP - JOY TELECOM - GABRIELA ALVES DE GODOY</v>
      </c>
      <c r="F205" s="5" t="str">
        <f>_xlfn.XLOOKUP(D205,[1]!Tabela24[Código consultor],[1]!Tabela24[Canal Consultor],0,0,1)</f>
        <v>PAR_DIG</v>
      </c>
      <c r="G205" s="10" t="str">
        <f>_xlfn.XLOOKUP(B205,[1]!Tabela1[[Cidades ]],[1]!Tabela1[Regional],0,0,1)</f>
        <v>Alisson</v>
      </c>
      <c r="H205" s="13" t="str">
        <f>_xlfn.XLOOKUP(B205,[1]!Tabela1[[Cidades ]],[1]!Tabela1[Gerente],0,0,1)</f>
        <v>Tatiane</v>
      </c>
    </row>
    <row r="206" spans="1:8" x14ac:dyDescent="0.3">
      <c r="A206" s="4" t="s">
        <v>482</v>
      </c>
      <c r="B206" s="5" t="s">
        <v>11</v>
      </c>
      <c r="C206" s="6">
        <v>45833</v>
      </c>
      <c r="D206" s="7">
        <v>788656</v>
      </c>
      <c r="E206" s="5" t="str">
        <f>_xlfn.XLOOKUP(D206,[1]!Tabela24[Código consultor],[1]!Tabela24[Consultor Venda],0,0,1)</f>
        <v>PAR - STB - PAP - JOY TELECOM - GABRIELA ALVES DE GODOY</v>
      </c>
      <c r="F206" s="5" t="str">
        <f>_xlfn.XLOOKUP(D206,[1]!Tabela24[Código consultor],[1]!Tabela24[Canal Consultor],0,0,1)</f>
        <v>PAR_DIG</v>
      </c>
      <c r="G206" s="5" t="str">
        <f>_xlfn.XLOOKUP(B206,[1]!Tabela1[[Cidades ]],[1]!Tabela1[Regional],0,0,1)</f>
        <v>Magno</v>
      </c>
      <c r="H206" s="8" t="str">
        <f>_xlfn.XLOOKUP(B206,[1]!Tabela1[[Cidades ]],[1]!Tabela1[Gerente],0,0,1)</f>
        <v>Demais coordenadores</v>
      </c>
    </row>
    <row r="207" spans="1:8" x14ac:dyDescent="0.3">
      <c r="A207" s="9" t="s">
        <v>347</v>
      </c>
      <c r="B207" s="10" t="s">
        <v>74</v>
      </c>
      <c r="C207" s="11">
        <v>45833</v>
      </c>
      <c r="D207" s="12">
        <v>674036</v>
      </c>
      <c r="E207" s="5" t="str">
        <f>_xlfn.XLOOKUP(D207,[1]!Tabela24[Código consultor],[1]!Tabela24[Consultor Venda],0,0,1)</f>
        <v>COM - IRI - RODRIGO SOARES DA SILVA</v>
      </c>
      <c r="F207" s="5" t="str">
        <f>_xlfn.XLOOKUP(D207,[1]!Tabela24[Código consultor],[1]!Tabela24[Canal Consultor],0,0,1)</f>
        <v>Pap</v>
      </c>
      <c r="G207" s="10" t="str">
        <f>_xlfn.XLOOKUP(B207,[1]!Tabela1[[Cidades ]],[1]!Tabela1[Regional],0,0,1)</f>
        <v>Jean</v>
      </c>
      <c r="H207" s="13" t="str">
        <f>_xlfn.XLOOKUP(B207,[1]!Tabela1[[Cidades ]],[1]!Tabela1[Gerente],0,0,1)</f>
        <v>Demais coordenadores</v>
      </c>
    </row>
    <row r="208" spans="1:8" x14ac:dyDescent="0.3">
      <c r="A208" s="4" t="s">
        <v>483</v>
      </c>
      <c r="B208" s="5" t="s">
        <v>19</v>
      </c>
      <c r="C208" s="6">
        <v>45833</v>
      </c>
      <c r="D208" s="7">
        <v>868672</v>
      </c>
      <c r="E208" s="5" t="str">
        <f>_xlfn.XLOOKUP(D208,[1]!Tabela24[Código consultor],[1]!Tabela24[Consultor Venda],0,0,1)</f>
        <v>COM - CHN - KEVIN FELIPE RODRIGUES DA SILVA LOPES</v>
      </c>
      <c r="F208" s="5" t="str">
        <f>_xlfn.XLOOKUP(D208,[1]!Tabela24[Código consultor],[1]!Tabela24[Canal Consultor],0,0,1)</f>
        <v>Pap</v>
      </c>
      <c r="G208" s="5" t="str">
        <f>_xlfn.XLOOKUP(B208,[1]!Tabela1[[Cidades ]],[1]!Tabela1[Regional],0,0,1)</f>
        <v>Magno</v>
      </c>
      <c r="H208" s="8" t="str">
        <f>_xlfn.XLOOKUP(B208,[1]!Tabela1[[Cidades ]],[1]!Tabela1[Gerente],0,0,1)</f>
        <v>Demais coordenadores</v>
      </c>
    </row>
    <row r="209" spans="1:8" x14ac:dyDescent="0.3">
      <c r="A209" s="9" t="s">
        <v>348</v>
      </c>
      <c r="B209" s="10" t="s">
        <v>10</v>
      </c>
      <c r="C209" s="11">
        <v>45833</v>
      </c>
      <c r="D209" s="12">
        <v>525458</v>
      </c>
      <c r="E209" s="5" t="str">
        <f>_xlfn.XLOOKUP(D209,[1]!Tabela24[Código consultor],[1]!Tabela24[Consultor Venda],0,0,1)</f>
        <v>PAR - ADM - GRP - FIGUEREDO MOBILE  - JOSELIO O. P. JUNIOR</v>
      </c>
      <c r="F209" s="5" t="str">
        <f>_xlfn.XLOOKUP(D209,[1]!Tabela24[Código consultor],[1]!Tabela24[Canal Consultor],0,0,1)</f>
        <v>PAR</v>
      </c>
      <c r="G209" s="10" t="str">
        <f>_xlfn.XLOOKUP(B209,[1]!Tabela1[[Cidades ]],[1]!Tabela1[Regional],0,0,1)</f>
        <v>Jean</v>
      </c>
      <c r="H209" s="13" t="str">
        <f>_xlfn.XLOOKUP(B209,[1]!Tabela1[[Cidades ]],[1]!Tabela1[Gerente],0,0,1)</f>
        <v>Demais coordenadores</v>
      </c>
    </row>
    <row r="210" spans="1:8" x14ac:dyDescent="0.3">
      <c r="A210" s="4" t="s">
        <v>484</v>
      </c>
      <c r="B210" s="5" t="s">
        <v>67</v>
      </c>
      <c r="C210" s="6">
        <v>45833</v>
      </c>
      <c r="D210" s="7">
        <v>859311</v>
      </c>
      <c r="E210" s="5" t="str">
        <f>_xlfn.XLOOKUP(D210,[1]!Tabela24[Código consultor],[1]!Tabela24[Consultor Venda],0,0,1)</f>
        <v>COM - XXM - KIELI ALINE SANTIN</v>
      </c>
      <c r="F210" s="5" t="str">
        <f>_xlfn.XLOOKUP(D210,[1]!Tabela24[Código consultor],[1]!Tabela24[Canal Consultor],0,0,1)</f>
        <v>INTERNO</v>
      </c>
      <c r="G210" s="5" t="str">
        <f>_xlfn.XLOOKUP(B210,[1]!Tabela1[[Cidades ]],[1]!Tabela1[Regional],0,0,1)</f>
        <v>Maycon</v>
      </c>
      <c r="H210" s="8" t="str">
        <f>_xlfn.XLOOKUP(B210,[1]!Tabela1[[Cidades ]],[1]!Tabela1[Gerente],0,0,1)</f>
        <v>Demais coordenadores</v>
      </c>
    </row>
    <row r="211" spans="1:8" x14ac:dyDescent="0.3">
      <c r="A211" s="9" t="s">
        <v>484</v>
      </c>
      <c r="B211" s="10" t="s">
        <v>67</v>
      </c>
      <c r="C211" s="11">
        <v>45833</v>
      </c>
      <c r="D211" s="12">
        <v>859311</v>
      </c>
      <c r="E211" s="5" t="str">
        <f>_xlfn.XLOOKUP(D211,[1]!Tabela24[Código consultor],[1]!Tabela24[Consultor Venda],0,0,1)</f>
        <v>COM - XXM - KIELI ALINE SANTIN</v>
      </c>
      <c r="F211" s="5" t="str">
        <f>_xlfn.XLOOKUP(D211,[1]!Tabela24[Código consultor],[1]!Tabela24[Canal Consultor],0,0,1)</f>
        <v>INTERNO</v>
      </c>
      <c r="G211" s="10" t="str">
        <f>_xlfn.XLOOKUP(B211,[1]!Tabela1[[Cidades ]],[1]!Tabela1[Regional],0,0,1)</f>
        <v>Maycon</v>
      </c>
      <c r="H211" s="13" t="str">
        <f>_xlfn.XLOOKUP(B211,[1]!Tabela1[[Cidades ]],[1]!Tabela1[Gerente],0,0,1)</f>
        <v>Demais coordenadores</v>
      </c>
    </row>
    <row r="212" spans="1:8" x14ac:dyDescent="0.3">
      <c r="A212" s="4" t="s">
        <v>485</v>
      </c>
      <c r="B212" s="5" t="s">
        <v>53</v>
      </c>
      <c r="C212" s="6">
        <v>45833</v>
      </c>
      <c r="D212" s="7">
        <v>239381</v>
      </c>
      <c r="E212" s="5" t="str">
        <f>_xlfn.XLOOKUP(D212,[1]!Tabela24[Código consultor],[1]!Tabela24[Consultor Venda],0,0,1)</f>
        <v>O&amp;M - TEC - DOS - ROBERTO F. HEISS JUNIOR</v>
      </c>
      <c r="F212" s="5" t="str">
        <f>_xlfn.XLOOKUP(D212,[1]!Tabela24[Código consultor],[1]!Tabela24[Canal Consultor],0,0,1)</f>
        <v>ADM Interno</v>
      </c>
      <c r="G212" s="5" t="str">
        <f>_xlfn.XLOOKUP(B212,[1]!Tabela1[[Cidades ]],[1]!Tabela1[Regional],0,0,1)</f>
        <v>Adilson</v>
      </c>
      <c r="H212" s="8" t="str">
        <f>_xlfn.XLOOKUP(B212,[1]!Tabela1[[Cidades ]],[1]!Tabela1[Gerente],0,0,1)</f>
        <v>Demais coordenadores</v>
      </c>
    </row>
    <row r="213" spans="1:8" x14ac:dyDescent="0.3">
      <c r="A213" s="9" t="s">
        <v>349</v>
      </c>
      <c r="B213" s="10" t="s">
        <v>22</v>
      </c>
      <c r="C213" s="11">
        <v>45833</v>
      </c>
      <c r="D213" s="12">
        <v>822770</v>
      </c>
      <c r="E213" s="5" t="str">
        <f>_xlfn.XLOOKUP(D213,[1]!Tabela24[Código consultor],[1]!Tabela24[Consultor Venda],0,0,1)</f>
        <v>COM - SCR - VINICIUS ALCEMAR DA SILVA</v>
      </c>
      <c r="F213" s="5" t="str">
        <f>_xlfn.XLOOKUP(D213,[1]!Tabela24[Código consultor],[1]!Tabela24[Canal Consultor],0,0,1)</f>
        <v>Pap</v>
      </c>
      <c r="G213" s="10" t="str">
        <f>_xlfn.XLOOKUP(B213,[1]!Tabela1[[Cidades ]],[1]!Tabela1[Regional],0,0,1)</f>
        <v>Magno</v>
      </c>
      <c r="H213" s="13" t="str">
        <f>_xlfn.XLOOKUP(B213,[1]!Tabela1[[Cidades ]],[1]!Tabela1[Gerente],0,0,1)</f>
        <v>Demais coordenadores</v>
      </c>
    </row>
    <row r="214" spans="1:8" x14ac:dyDescent="0.3">
      <c r="A214" s="4" t="s">
        <v>350</v>
      </c>
      <c r="B214" s="5" t="s">
        <v>42</v>
      </c>
      <c r="C214" s="6">
        <v>45833</v>
      </c>
      <c r="D214" s="7">
        <v>836541</v>
      </c>
      <c r="E214" s="5" t="str">
        <f>_xlfn.XLOOKUP(D214,[1]!Tabela24[Código consultor],[1]!Tabela24[Consultor Venda],0,0,1)</f>
        <v>COM - CDA - SARA DA SILVA LESSE</v>
      </c>
      <c r="F214" s="5" t="str">
        <f>_xlfn.XLOOKUP(D214,[1]!Tabela24[Código consultor],[1]!Tabela24[Canal Consultor],0,0,1)</f>
        <v>INTERNO</v>
      </c>
      <c r="G214" s="5" t="str">
        <f>_xlfn.XLOOKUP(B214,[1]!Tabela1[[Cidades ]],[1]!Tabela1[Regional],0,0,1)</f>
        <v>Maycon</v>
      </c>
      <c r="H214" s="8" t="str">
        <f>_xlfn.XLOOKUP(B214,[1]!Tabela1[[Cidades ]],[1]!Tabela1[Gerente],0,0,1)</f>
        <v>Demais coordenadores</v>
      </c>
    </row>
    <row r="215" spans="1:8" x14ac:dyDescent="0.3">
      <c r="A215" s="9" t="s">
        <v>486</v>
      </c>
      <c r="B215" s="10" t="s">
        <v>46</v>
      </c>
      <c r="C215" s="11">
        <v>45833</v>
      </c>
      <c r="D215" s="12">
        <v>694166</v>
      </c>
      <c r="E215" s="5" t="str">
        <f>_xlfn.XLOOKUP(D215,[1]!Tabela24[Código consultor],[1]!Tabela24[Consultor Venda],0,0,1)</f>
        <v>DIG - CCO - CARINE CORREA SOARES</v>
      </c>
      <c r="F215" s="5" t="str">
        <f>_xlfn.XLOOKUP(D215,[1]!Tabela24[Código consultor],[1]!Tabela24[Canal Consultor],0,0,1)</f>
        <v>DIGITAL</v>
      </c>
      <c r="G215" s="10" t="str">
        <f>_xlfn.XLOOKUP(B215,[1]!Tabela1[[Cidades ]],[1]!Tabela1[Regional],0,0,1)</f>
        <v>Magno</v>
      </c>
      <c r="H215" s="13" t="str">
        <f>_xlfn.XLOOKUP(B215,[1]!Tabela1[[Cidades ]],[1]!Tabela1[Gerente],0,0,1)</f>
        <v>Demais coordenadores</v>
      </c>
    </row>
    <row r="216" spans="1:8" x14ac:dyDescent="0.3">
      <c r="A216" s="4" t="s">
        <v>487</v>
      </c>
      <c r="B216" s="5" t="s">
        <v>23</v>
      </c>
      <c r="C216" s="6">
        <v>45833</v>
      </c>
      <c r="D216" s="7">
        <v>767508</v>
      </c>
      <c r="E216" s="5" t="str">
        <f>_xlfn.XLOOKUP(D216,[1]!Tabela24[Código consultor],[1]!Tabela24[Consultor Venda],0,0,1)</f>
        <v>COM - CAN - JULIANA DA SILVA ASSUNCAO</v>
      </c>
      <c r="F216" s="5" t="str">
        <f>_xlfn.XLOOKUP(D216,[1]!Tabela24[Código consultor],[1]!Tabela24[Canal Consultor],0,0,1)</f>
        <v>Pap</v>
      </c>
      <c r="G216" s="5" t="str">
        <f>_xlfn.XLOOKUP(B216,[1]!Tabela1[[Cidades ]],[1]!Tabela1[Regional],0,0,1)</f>
        <v>Magno</v>
      </c>
      <c r="H216" s="8" t="str">
        <f>_xlfn.XLOOKUP(B216,[1]!Tabela1[[Cidades ]],[1]!Tabela1[Gerente],0,0,1)</f>
        <v>Demais coordenadores</v>
      </c>
    </row>
    <row r="217" spans="1:8" x14ac:dyDescent="0.3">
      <c r="A217" s="9" t="s">
        <v>488</v>
      </c>
      <c r="B217" s="10" t="s">
        <v>30</v>
      </c>
      <c r="C217" s="11">
        <v>45833</v>
      </c>
      <c r="D217" s="12">
        <v>883827</v>
      </c>
      <c r="E217" s="5" t="str">
        <f>_xlfn.XLOOKUP(D217,[1]!Tabela24[Código consultor],[1]!Tabela24[Consultor Venda],0,0,1)</f>
        <v>COM - IGA - YASMIN NAYARA DE ALMEIDA SILVA</v>
      </c>
      <c r="F217" s="5" t="str">
        <f>_xlfn.XLOOKUP(D217,[1]!Tabela24[Código consultor],[1]!Tabela24[Canal Consultor],0,0,1)</f>
        <v>Pap</v>
      </c>
      <c r="G217" s="10" t="str">
        <f>_xlfn.XLOOKUP(B217,[1]!Tabela1[[Cidades ]],[1]!Tabela1[Regional],0,0,1)</f>
        <v>Jean</v>
      </c>
      <c r="H217" s="13" t="str">
        <f>_xlfn.XLOOKUP(B217,[1]!Tabela1[[Cidades ]],[1]!Tabela1[Gerente],0,0,1)</f>
        <v>Demais coordenadores</v>
      </c>
    </row>
    <row r="218" spans="1:8" x14ac:dyDescent="0.3">
      <c r="A218" s="4" t="s">
        <v>489</v>
      </c>
      <c r="B218" s="5" t="s">
        <v>30</v>
      </c>
      <c r="C218" s="6">
        <v>45833</v>
      </c>
      <c r="D218" s="7">
        <v>827465</v>
      </c>
      <c r="E218" s="5" t="str">
        <f>_xlfn.XLOOKUP(D218,[1]!Tabela24[Código consultor],[1]!Tabela24[Consultor Venda],0,0,1)</f>
        <v>DIG - ATV - TAINARA RODRIGUES CORDEIRO</v>
      </c>
      <c r="F218" s="5" t="str">
        <f>_xlfn.XLOOKUP(D218,[1]!Tabela24[Código consultor],[1]!Tabela24[Canal Consultor],0,0,1)</f>
        <v>Televendas Ativo</v>
      </c>
      <c r="G218" s="5" t="str">
        <f>_xlfn.XLOOKUP(B218,[1]!Tabela1[[Cidades ]],[1]!Tabela1[Regional],0,0,1)</f>
        <v>Jean</v>
      </c>
      <c r="H218" s="8" t="str">
        <f>_xlfn.XLOOKUP(B218,[1]!Tabela1[[Cidades ]],[1]!Tabela1[Gerente],0,0,1)</f>
        <v>Demais coordenadores</v>
      </c>
    </row>
    <row r="219" spans="1:8" x14ac:dyDescent="0.3">
      <c r="A219" s="9" t="s">
        <v>490</v>
      </c>
      <c r="B219" s="10" t="s">
        <v>12</v>
      </c>
      <c r="C219" s="11">
        <v>45833</v>
      </c>
      <c r="D219" s="12">
        <v>827465</v>
      </c>
      <c r="E219" s="5" t="str">
        <f>_xlfn.XLOOKUP(D219,[1]!Tabela24[Código consultor],[1]!Tabela24[Consultor Venda],0,0,1)</f>
        <v>DIG - ATV - TAINARA RODRIGUES CORDEIRO</v>
      </c>
      <c r="F219" s="5" t="str">
        <f>_xlfn.XLOOKUP(D219,[1]!Tabela24[Código consultor],[1]!Tabela24[Canal Consultor],0,0,1)</f>
        <v>Televendas Ativo</v>
      </c>
      <c r="G219" s="10" t="str">
        <f>_xlfn.XLOOKUP(B219,[1]!Tabela1[[Cidades ]],[1]!Tabela1[Regional],0,0,1)</f>
        <v>Jean</v>
      </c>
      <c r="H219" s="13" t="str">
        <f>_xlfn.XLOOKUP(B219,[1]!Tabela1[[Cidades ]],[1]!Tabela1[Gerente],0,0,1)</f>
        <v>Demais coordenadores</v>
      </c>
    </row>
    <row r="220" spans="1:8" x14ac:dyDescent="0.3">
      <c r="A220" s="4" t="s">
        <v>491</v>
      </c>
      <c r="B220" s="5" t="s">
        <v>19</v>
      </c>
      <c r="C220" s="6">
        <v>45833</v>
      </c>
      <c r="D220" s="7">
        <v>794227</v>
      </c>
      <c r="E220" s="5" t="str">
        <f>_xlfn.XLOOKUP(D220,[1]!Tabela24[Código consultor],[1]!Tabela24[Consultor Venda],0,0,1)</f>
        <v>PAR - PAP - TECH PERFORMANCE - Dario de Oliveira</v>
      </c>
      <c r="F220" s="5" t="str">
        <f>_xlfn.XLOOKUP(D220,[1]!Tabela24[Código consultor],[1]!Tabela24[Canal Consultor],0,0,1)</f>
        <v>Par</v>
      </c>
      <c r="G220" s="5" t="str">
        <f>_xlfn.XLOOKUP(B220,[1]!Tabela1[[Cidades ]],[1]!Tabela1[Regional],0,0,1)</f>
        <v>Magno</v>
      </c>
      <c r="H220" s="8" t="str">
        <f>_xlfn.XLOOKUP(B220,[1]!Tabela1[[Cidades ]],[1]!Tabela1[Gerente],0,0,1)</f>
        <v>Demais coordenadores</v>
      </c>
    </row>
    <row r="221" spans="1:8" x14ac:dyDescent="0.3">
      <c r="A221" s="9" t="s">
        <v>492</v>
      </c>
      <c r="B221" s="10" t="s">
        <v>32</v>
      </c>
      <c r="C221" s="11">
        <v>45833</v>
      </c>
      <c r="D221" s="12">
        <v>576121</v>
      </c>
      <c r="E221" s="5" t="str">
        <f>_xlfn.XLOOKUP(D221,[1]!Tabela24[Código consultor],[1]!Tabela24[Consultor Venda],0,0,1)</f>
        <v>COM - IGA - LEONARDO XAVIER GOMES</v>
      </c>
      <c r="F221" s="5" t="str">
        <f>_xlfn.XLOOKUP(D221,[1]!Tabela24[Código consultor],[1]!Tabela24[Canal Consultor],0,0,1)</f>
        <v>Pap</v>
      </c>
      <c r="G221" s="10" t="str">
        <f>_xlfn.XLOOKUP(B221,[1]!Tabela1[[Cidades ]],[1]!Tabela1[Regional],0,0,1)</f>
        <v>Jean</v>
      </c>
      <c r="H221" s="13" t="str">
        <f>_xlfn.XLOOKUP(B221,[1]!Tabela1[[Cidades ]],[1]!Tabela1[Gerente],0,0,1)</f>
        <v>Demais coordenadores</v>
      </c>
    </row>
    <row r="222" spans="1:8" x14ac:dyDescent="0.3">
      <c r="A222" s="4" t="s">
        <v>493</v>
      </c>
      <c r="B222" s="5" t="s">
        <v>46</v>
      </c>
      <c r="C222" s="6">
        <v>45833</v>
      </c>
      <c r="D222" s="7">
        <v>788656</v>
      </c>
      <c r="E222" s="5" t="str">
        <f>_xlfn.XLOOKUP(D222,[1]!Tabela24[Código consultor],[1]!Tabela24[Consultor Venda],0,0,1)</f>
        <v>PAR - STB - PAP - JOY TELECOM - GABRIELA ALVES DE GODOY</v>
      </c>
      <c r="F222" s="5" t="str">
        <f>_xlfn.XLOOKUP(D222,[1]!Tabela24[Código consultor],[1]!Tabela24[Canal Consultor],0,0,1)</f>
        <v>PAR_DIG</v>
      </c>
      <c r="G222" s="5" t="str">
        <f>_xlfn.XLOOKUP(B222,[1]!Tabela1[[Cidades ]],[1]!Tabela1[Regional],0,0,1)</f>
        <v>Magno</v>
      </c>
      <c r="H222" s="8" t="str">
        <f>_xlfn.XLOOKUP(B222,[1]!Tabela1[[Cidades ]],[1]!Tabela1[Gerente],0,0,1)</f>
        <v>Demais coordenadores</v>
      </c>
    </row>
    <row r="223" spans="1:8" x14ac:dyDescent="0.3">
      <c r="A223" s="9" t="s">
        <v>352</v>
      </c>
      <c r="B223" s="10" t="s">
        <v>65</v>
      </c>
      <c r="C223" s="11">
        <v>45833</v>
      </c>
      <c r="D223" s="12">
        <v>683063</v>
      </c>
      <c r="E223" s="5" t="str">
        <f>_xlfn.XLOOKUP(D223,[1]!Tabela24[Código consultor],[1]!Tabela24[Consultor Venda],0,0,1)</f>
        <v>COM - CUA - BRUNO MANOEL DO NASCIMENTO</v>
      </c>
      <c r="F223" s="5" t="str">
        <f>_xlfn.XLOOKUP(D223,[1]!Tabela24[Código consultor],[1]!Tabela24[Canal Consultor],0,0,1)</f>
        <v>Pap</v>
      </c>
      <c r="G223" s="10" t="str">
        <f>_xlfn.XLOOKUP(B223,[1]!Tabela1[[Cidades ]],[1]!Tabela1[Regional],0,0,1)</f>
        <v>Marcio</v>
      </c>
      <c r="H223" s="13" t="str">
        <f>_xlfn.XLOOKUP(B223,[1]!Tabela1[[Cidades ]],[1]!Tabela1[Gerente],0,0,1)</f>
        <v>Demais coordenadores</v>
      </c>
    </row>
    <row r="224" spans="1:8" x14ac:dyDescent="0.3">
      <c r="A224" s="4" t="s">
        <v>354</v>
      </c>
      <c r="B224" s="5" t="s">
        <v>27</v>
      </c>
      <c r="C224" s="6">
        <v>45833</v>
      </c>
      <c r="D224" s="7">
        <v>405</v>
      </c>
      <c r="E224" s="5" t="str">
        <f>_xlfn.XLOOKUP(D224,[1]!Tabela24[Código consultor],[1]!Tabela24[Consultor Venda],0,0,1)</f>
        <v>COM - VAA - GREICE BOEIRA DA SILVA</v>
      </c>
      <c r="F224" s="5" t="str">
        <f>_xlfn.XLOOKUP(D224,[1]!Tabela24[Código consultor],[1]!Tabela24[Canal Consultor],0,0,1)</f>
        <v>INTERNO</v>
      </c>
      <c r="G224" s="5" t="str">
        <f>_xlfn.XLOOKUP(B224,[1]!Tabela1[[Cidades ]],[1]!Tabela1[Regional],0,0,1)</f>
        <v>Alisson</v>
      </c>
      <c r="H224" s="8" t="str">
        <f>_xlfn.XLOOKUP(B224,[1]!Tabela1[[Cidades ]],[1]!Tabela1[Gerente],0,0,1)</f>
        <v>Tatiane</v>
      </c>
    </row>
    <row r="225" spans="1:8" x14ac:dyDescent="0.3">
      <c r="A225" s="9" t="s">
        <v>494</v>
      </c>
      <c r="B225" s="10" t="s">
        <v>31</v>
      </c>
      <c r="C225" s="11">
        <v>45833</v>
      </c>
      <c r="D225" s="12">
        <v>788656</v>
      </c>
      <c r="E225" s="5" t="str">
        <f>_xlfn.XLOOKUP(D225,[1]!Tabela24[Código consultor],[1]!Tabela24[Consultor Venda],0,0,1)</f>
        <v>PAR - STB - PAP - JOY TELECOM - GABRIELA ALVES DE GODOY</v>
      </c>
      <c r="F225" s="5" t="str">
        <f>_xlfn.XLOOKUP(D225,[1]!Tabela24[Código consultor],[1]!Tabela24[Canal Consultor],0,0,1)</f>
        <v>PAR_DIG</v>
      </c>
      <c r="G225" s="10" t="str">
        <f>_xlfn.XLOOKUP(B225,[1]!Tabela1[[Cidades ]],[1]!Tabela1[Regional],0,0,1)</f>
        <v>Maycon</v>
      </c>
      <c r="H225" s="13" t="str">
        <f>_xlfn.XLOOKUP(B225,[1]!Tabela1[[Cidades ]],[1]!Tabela1[Gerente],0,0,1)</f>
        <v>Demais coordenadores</v>
      </c>
    </row>
    <row r="226" spans="1:8" x14ac:dyDescent="0.3">
      <c r="A226" s="4" t="s">
        <v>495</v>
      </c>
      <c r="B226" s="5" t="s">
        <v>16</v>
      </c>
      <c r="C226" s="6">
        <v>45833</v>
      </c>
      <c r="D226" s="7">
        <v>560570</v>
      </c>
      <c r="E226" s="5" t="str">
        <f>_xlfn.XLOOKUP(D226,[1]!Tabela24[Código consultor],[1]!Tabela24[Consultor Venda],0,0,1)</f>
        <v>COM - CSL - ISMAEL LUIZ DA CRUZ</v>
      </c>
      <c r="F226" s="5" t="str">
        <f>_xlfn.XLOOKUP(D226,[1]!Tabela24[Código consultor],[1]!Tabela24[Canal Consultor],0,0,1)</f>
        <v>Pap</v>
      </c>
      <c r="G226" s="5" t="str">
        <f>_xlfn.XLOOKUP(B226,[1]!Tabela1[[Cidades ]],[1]!Tabela1[Regional],0,0,1)</f>
        <v>Magno</v>
      </c>
      <c r="H226" s="8" t="str">
        <f>_xlfn.XLOOKUP(B226,[1]!Tabela1[[Cidades ]],[1]!Tabela1[Gerente],0,0,1)</f>
        <v>Demais coordenadores</v>
      </c>
    </row>
    <row r="227" spans="1:8" x14ac:dyDescent="0.3">
      <c r="A227" s="9" t="s">
        <v>199</v>
      </c>
      <c r="B227" s="10" t="s">
        <v>27</v>
      </c>
      <c r="C227" s="11">
        <v>45833</v>
      </c>
      <c r="D227" s="12">
        <v>405</v>
      </c>
      <c r="E227" s="5" t="str">
        <f>_xlfn.XLOOKUP(D227,[1]!Tabela24[Código consultor],[1]!Tabela24[Consultor Venda],0,0,1)</f>
        <v>COM - VAA - GREICE BOEIRA DA SILVA</v>
      </c>
      <c r="F227" s="5" t="str">
        <f>_xlfn.XLOOKUP(D227,[1]!Tabela24[Código consultor],[1]!Tabela24[Canal Consultor],0,0,1)</f>
        <v>INTERNO</v>
      </c>
      <c r="G227" s="10" t="str">
        <f>_xlfn.XLOOKUP(B227,[1]!Tabela1[[Cidades ]],[1]!Tabela1[Regional],0,0,1)</f>
        <v>Alisson</v>
      </c>
      <c r="H227" s="13" t="str">
        <f>_xlfn.XLOOKUP(B227,[1]!Tabela1[[Cidades ]],[1]!Tabela1[Gerente],0,0,1)</f>
        <v>Tatiane</v>
      </c>
    </row>
    <row r="228" spans="1:8" x14ac:dyDescent="0.3">
      <c r="A228" s="4" t="s">
        <v>355</v>
      </c>
      <c r="B228" s="5" t="s">
        <v>23</v>
      </c>
      <c r="C228" s="6">
        <v>45833</v>
      </c>
      <c r="D228" s="7">
        <v>861705</v>
      </c>
      <c r="E228" s="5" t="str">
        <f>_xlfn.XLOOKUP(D228,[1]!Tabela24[Código consultor],[1]!Tabela24[Consultor Venda],0,0,1)</f>
        <v>PAR - COM - PAP - TQR - ERIKA DE OLIVEIRA GALLE</v>
      </c>
      <c r="F228" s="5" t="str">
        <f>_xlfn.XLOOKUP(D228,[1]!Tabela24[Código consultor],[1]!Tabela24[Canal Consultor],0,0,1)</f>
        <v>PAR</v>
      </c>
      <c r="G228" s="5" t="str">
        <f>_xlfn.XLOOKUP(B228,[1]!Tabela1[[Cidades ]],[1]!Tabela1[Regional],0,0,1)</f>
        <v>Magno</v>
      </c>
      <c r="H228" s="8" t="str">
        <f>_xlfn.XLOOKUP(B228,[1]!Tabela1[[Cidades ]],[1]!Tabela1[Gerente],0,0,1)</f>
        <v>Demais coordenadores</v>
      </c>
    </row>
    <row r="229" spans="1:8" x14ac:dyDescent="0.3">
      <c r="A229" s="9" t="s">
        <v>496</v>
      </c>
      <c r="B229" s="10" t="s">
        <v>39</v>
      </c>
      <c r="C229" s="11">
        <v>45833</v>
      </c>
      <c r="D229" s="12">
        <v>617463</v>
      </c>
      <c r="E229" s="5" t="str">
        <f>_xlfn.XLOOKUP(D229,[1]!Tabela24[Código consultor],[1]!Tabela24[Consultor Venda],0,0,1)</f>
        <v>DIG - CCO - ALEX AUGUSTO DA CRUZ RODRIGUES</v>
      </c>
      <c r="F229" s="5" t="str">
        <f>_xlfn.XLOOKUP(D229,[1]!Tabela24[Código consultor],[1]!Tabela24[Canal Consultor],0,0,1)</f>
        <v>DIGITAL</v>
      </c>
      <c r="G229" s="10" t="str">
        <f>_xlfn.XLOOKUP(B229,[1]!Tabela1[[Cidades ]],[1]!Tabela1[Regional],0,0,1)</f>
        <v>Marcio</v>
      </c>
      <c r="H229" s="13" t="str">
        <f>_xlfn.XLOOKUP(B229,[1]!Tabela1[[Cidades ]],[1]!Tabela1[Gerente],0,0,1)</f>
        <v>Demais coordenadores</v>
      </c>
    </row>
    <row r="230" spans="1:8" x14ac:dyDescent="0.3">
      <c r="A230" s="4" t="s">
        <v>497</v>
      </c>
      <c r="B230" s="5" t="s">
        <v>59</v>
      </c>
      <c r="C230" s="6">
        <v>45833</v>
      </c>
      <c r="D230" s="7">
        <v>775845</v>
      </c>
      <c r="E230" s="5" t="str">
        <f>_xlfn.XLOOKUP(D230,[1]!Tabela24[Código consultor],[1]!Tabela24[Consultor Venda],0,0,1)</f>
        <v>COM - UMR - BRUNA RAFAELA TOTH</v>
      </c>
      <c r="F230" s="5" t="str">
        <f>_xlfn.XLOOKUP(D230,[1]!Tabela24[Código consultor],[1]!Tabela24[Canal Consultor],0,0,1)</f>
        <v>INTERNO</v>
      </c>
      <c r="G230" s="5" t="str">
        <f>_xlfn.XLOOKUP(B230,[1]!Tabela1[[Cidades ]],[1]!Tabela1[Regional],0,0,1)</f>
        <v>Adilson</v>
      </c>
      <c r="H230" s="8" t="str">
        <f>_xlfn.XLOOKUP(B230,[1]!Tabela1[[Cidades ]],[1]!Tabela1[Gerente],0,0,1)</f>
        <v>Demais coordenadores</v>
      </c>
    </row>
    <row r="231" spans="1:8" x14ac:dyDescent="0.3">
      <c r="A231" s="9" t="s">
        <v>498</v>
      </c>
      <c r="B231" s="10" t="s">
        <v>27</v>
      </c>
      <c r="C231" s="11">
        <v>45833</v>
      </c>
      <c r="D231" s="12">
        <v>172141</v>
      </c>
      <c r="E231" s="5" t="str">
        <f>_xlfn.XLOOKUP(D231,[1]!Tabela24[Código consultor],[1]!Tabela24[Consultor Venda],0,0,1)</f>
        <v>COM - VAA - KETELLE PEDROSO DA CONCEICAO</v>
      </c>
      <c r="F231" s="5" t="str">
        <f>_xlfn.XLOOKUP(D231,[1]!Tabela24[Código consultor],[1]!Tabela24[Canal Consultor],0,0,1)</f>
        <v>INTERNO</v>
      </c>
      <c r="G231" s="10" t="str">
        <f>_xlfn.XLOOKUP(B231,[1]!Tabela1[[Cidades ]],[1]!Tabela1[Regional],0,0,1)</f>
        <v>Alisson</v>
      </c>
      <c r="H231" s="13" t="str">
        <f>_xlfn.XLOOKUP(B231,[1]!Tabela1[[Cidades ]],[1]!Tabela1[Gerente],0,0,1)</f>
        <v>Tatiane</v>
      </c>
    </row>
    <row r="232" spans="1:8" x14ac:dyDescent="0.3">
      <c r="A232" s="4" t="s">
        <v>356</v>
      </c>
      <c r="B232" s="5" t="s">
        <v>12</v>
      </c>
      <c r="C232" s="6">
        <v>45833</v>
      </c>
      <c r="D232" s="7">
        <v>40828</v>
      </c>
      <c r="E232" s="5" t="str">
        <f>_xlfn.XLOOKUP(D232,[1]!Tabela24[Código consultor],[1]!Tabela24[Consultor Venda],0,0,1)</f>
        <v>COM - PGO - CRISTIANE APARECIDA CHIAMULERA</v>
      </c>
      <c r="F232" s="5" t="str">
        <f>_xlfn.XLOOKUP(D232,[1]!Tabela24[Código consultor],[1]!Tabela24[Canal Consultor],0,0,1)</f>
        <v>Pap</v>
      </c>
      <c r="G232" s="5" t="str">
        <f>_xlfn.XLOOKUP(B232,[1]!Tabela1[[Cidades ]],[1]!Tabela1[Regional],0,0,1)</f>
        <v>Jean</v>
      </c>
      <c r="H232" s="8" t="str">
        <f>_xlfn.XLOOKUP(B232,[1]!Tabela1[[Cidades ]],[1]!Tabela1[Gerente],0,0,1)</f>
        <v>Demais coordenadores</v>
      </c>
    </row>
    <row r="233" spans="1:8" x14ac:dyDescent="0.3">
      <c r="A233" s="9" t="s">
        <v>358</v>
      </c>
      <c r="B233" s="10" t="s">
        <v>46</v>
      </c>
      <c r="C233" s="11">
        <v>45833</v>
      </c>
      <c r="D233" s="12">
        <v>694166</v>
      </c>
      <c r="E233" s="5" t="str">
        <f>_xlfn.XLOOKUP(D233,[1]!Tabela24[Código consultor],[1]!Tabela24[Consultor Venda],0,0,1)</f>
        <v>DIG - CCO - CARINE CORREA SOARES</v>
      </c>
      <c r="F233" s="5" t="str">
        <f>_xlfn.XLOOKUP(D233,[1]!Tabela24[Código consultor],[1]!Tabela24[Canal Consultor],0,0,1)</f>
        <v>DIGITAL</v>
      </c>
      <c r="G233" s="10" t="str">
        <f>_xlfn.XLOOKUP(B233,[1]!Tabela1[[Cidades ]],[1]!Tabela1[Regional],0,0,1)</f>
        <v>Magno</v>
      </c>
      <c r="H233" s="13" t="str">
        <f>_xlfn.XLOOKUP(B233,[1]!Tabela1[[Cidades ]],[1]!Tabela1[Gerente],0,0,1)</f>
        <v>Demais coordenadores</v>
      </c>
    </row>
    <row r="234" spans="1:8" x14ac:dyDescent="0.3">
      <c r="A234" s="4" t="s">
        <v>359</v>
      </c>
      <c r="B234" s="5" t="s">
        <v>10</v>
      </c>
      <c r="C234" s="6">
        <v>45833</v>
      </c>
      <c r="D234" s="7">
        <v>233138</v>
      </c>
      <c r="E234" s="5" t="str">
        <f>_xlfn.XLOOKUP(D234,[1]!Tabela24[Código consultor],[1]!Tabela24[Consultor Venda],0,0,1)</f>
        <v>PAR - INTE - GRP - MOBILE HD - ALINE KARNOSKI</v>
      </c>
      <c r="F234" s="5" t="str">
        <f>_xlfn.XLOOKUP(D234,[1]!Tabela24[Código consultor],[1]!Tabela24[Canal Consultor],0,0,1)</f>
        <v>PAR</v>
      </c>
      <c r="G234" s="5" t="str">
        <f>_xlfn.XLOOKUP(B234,[1]!Tabela1[[Cidades ]],[1]!Tabela1[Regional],0,0,1)</f>
        <v>Jean</v>
      </c>
      <c r="H234" s="8" t="str">
        <f>_xlfn.XLOOKUP(B234,[1]!Tabela1[[Cidades ]],[1]!Tabela1[Gerente],0,0,1)</f>
        <v>Demais coordenadores</v>
      </c>
    </row>
    <row r="235" spans="1:8" x14ac:dyDescent="0.3">
      <c r="A235" s="9" t="s">
        <v>499</v>
      </c>
      <c r="B235" s="10" t="s">
        <v>10</v>
      </c>
      <c r="C235" s="11">
        <v>45833</v>
      </c>
      <c r="D235" s="12">
        <v>794227</v>
      </c>
      <c r="E235" s="5" t="str">
        <f>_xlfn.XLOOKUP(D235,[1]!Tabela24[Código consultor],[1]!Tabela24[Consultor Venda],0,0,1)</f>
        <v>PAR - PAP - TECH PERFORMANCE - Dario de Oliveira</v>
      </c>
      <c r="F235" s="5" t="str">
        <f>_xlfn.XLOOKUP(D235,[1]!Tabela24[Código consultor],[1]!Tabela24[Canal Consultor],0,0,1)</f>
        <v>Par</v>
      </c>
      <c r="G235" s="10" t="str">
        <f>_xlfn.XLOOKUP(B235,[1]!Tabela1[[Cidades ]],[1]!Tabela1[Regional],0,0,1)</f>
        <v>Jean</v>
      </c>
      <c r="H235" s="13" t="str">
        <f>_xlfn.XLOOKUP(B235,[1]!Tabela1[[Cidades ]],[1]!Tabela1[Gerente],0,0,1)</f>
        <v>Demais coordenadores</v>
      </c>
    </row>
    <row r="236" spans="1:8" x14ac:dyDescent="0.3">
      <c r="A236" s="4" t="s">
        <v>500</v>
      </c>
      <c r="B236" s="5" t="s">
        <v>19</v>
      </c>
      <c r="C236" s="6">
        <v>45833</v>
      </c>
      <c r="D236" s="7">
        <v>781646</v>
      </c>
      <c r="E236" s="5" t="str">
        <f>_xlfn.XLOOKUP(D236,[1]!Tabela24[Código consultor],[1]!Tabela24[Consultor Venda],0,0,1)</f>
        <v>COM - CHN - EDUARDA BECKER RANGEL</v>
      </c>
      <c r="F236" s="5" t="str">
        <f>_xlfn.XLOOKUP(D236,[1]!Tabela24[Código consultor],[1]!Tabela24[Canal Consultor],0,0,1)</f>
        <v>Pap</v>
      </c>
      <c r="G236" s="5" t="str">
        <f>_xlfn.XLOOKUP(B236,[1]!Tabela1[[Cidades ]],[1]!Tabela1[Regional],0,0,1)</f>
        <v>Magno</v>
      </c>
      <c r="H236" s="8" t="str">
        <f>_xlfn.XLOOKUP(B236,[1]!Tabela1[[Cidades ]],[1]!Tabela1[Gerente],0,0,1)</f>
        <v>Demais coordenadores</v>
      </c>
    </row>
    <row r="237" spans="1:8" x14ac:dyDescent="0.3">
      <c r="A237" s="9" t="s">
        <v>501</v>
      </c>
      <c r="B237" s="10" t="s">
        <v>76</v>
      </c>
      <c r="C237" s="11">
        <v>45833</v>
      </c>
      <c r="D237" s="12">
        <v>878918</v>
      </c>
      <c r="E237" s="5" t="str">
        <f>_xlfn.XLOOKUP(D237,[1]!Tabela24[Código consultor],[1]!Tabela24[Consultor Venda],0,0,1)</f>
        <v>COM - CIO - DANIELE VAZ</v>
      </c>
      <c r="F237" s="5" t="str">
        <f>_xlfn.XLOOKUP(D237,[1]!Tabela24[Código consultor],[1]!Tabela24[Canal Consultor],0,0,1)</f>
        <v>INTERNO</v>
      </c>
      <c r="G237" s="10" t="str">
        <f>_xlfn.XLOOKUP(B237,[1]!Tabela1[[Cidades ]],[1]!Tabela1[Regional],0,0,1)</f>
        <v>Alisson</v>
      </c>
      <c r="H237" s="13" t="str">
        <f>_xlfn.XLOOKUP(B237,[1]!Tabela1[[Cidades ]],[1]!Tabela1[Gerente],0,0,1)</f>
        <v>Helena</v>
      </c>
    </row>
    <row r="238" spans="1:8" x14ac:dyDescent="0.3">
      <c r="A238" s="4" t="s">
        <v>502</v>
      </c>
      <c r="B238" s="5" t="s">
        <v>53</v>
      </c>
      <c r="C238" s="6">
        <v>45833</v>
      </c>
      <c r="D238" s="7">
        <v>239381</v>
      </c>
      <c r="E238" s="5" t="str">
        <f>_xlfn.XLOOKUP(D238,[1]!Tabela24[Código consultor],[1]!Tabela24[Consultor Venda],0,0,1)</f>
        <v>O&amp;M - TEC - DOS - ROBERTO F. HEISS JUNIOR</v>
      </c>
      <c r="F238" s="5" t="str">
        <f>_xlfn.XLOOKUP(D238,[1]!Tabela24[Código consultor],[1]!Tabela24[Canal Consultor],0,0,1)</f>
        <v>ADM Interno</v>
      </c>
      <c r="G238" s="5" t="str">
        <f>_xlfn.XLOOKUP(B238,[1]!Tabela1[[Cidades ]],[1]!Tabela1[Regional],0,0,1)</f>
        <v>Adilson</v>
      </c>
      <c r="H238" s="8" t="str">
        <f>_xlfn.XLOOKUP(B238,[1]!Tabela1[[Cidades ]],[1]!Tabela1[Gerente],0,0,1)</f>
        <v>Demais coordenadores</v>
      </c>
    </row>
    <row r="239" spans="1:8" x14ac:dyDescent="0.3">
      <c r="A239" s="9" t="s">
        <v>362</v>
      </c>
      <c r="B239" s="10" t="s">
        <v>19</v>
      </c>
      <c r="C239" s="11">
        <v>45833</v>
      </c>
      <c r="D239" s="12">
        <v>725067</v>
      </c>
      <c r="E239" s="5" t="str">
        <f>_xlfn.XLOOKUP(D239,[1]!Tabela24[Código consultor],[1]!Tabela24[Consultor Venda],0,0,1)</f>
        <v>COM - CHN - MICHELY SANTOS DOS SANTOS</v>
      </c>
      <c r="F239" s="5" t="str">
        <f>_xlfn.XLOOKUP(D239,[1]!Tabela24[Código consultor],[1]!Tabela24[Canal Consultor],0,0,1)</f>
        <v>Pap</v>
      </c>
      <c r="G239" s="10" t="str">
        <f>_xlfn.XLOOKUP(B239,[1]!Tabela1[[Cidades ]],[1]!Tabela1[Regional],0,0,1)</f>
        <v>Magno</v>
      </c>
      <c r="H239" s="13" t="str">
        <f>_xlfn.XLOOKUP(B239,[1]!Tabela1[[Cidades ]],[1]!Tabela1[Gerente],0,0,1)</f>
        <v>Demais coordenadores</v>
      </c>
    </row>
    <row r="240" spans="1:8" x14ac:dyDescent="0.3">
      <c r="A240" s="4" t="s">
        <v>503</v>
      </c>
      <c r="B240" s="5" t="s">
        <v>31</v>
      </c>
      <c r="C240" s="6">
        <v>45833</v>
      </c>
      <c r="D240" s="7">
        <v>788656</v>
      </c>
      <c r="E240" s="5" t="str">
        <f>_xlfn.XLOOKUP(D240,[1]!Tabela24[Código consultor],[1]!Tabela24[Consultor Venda],0,0,1)</f>
        <v>PAR - STB - PAP - JOY TELECOM - GABRIELA ALVES DE GODOY</v>
      </c>
      <c r="F240" s="5" t="str">
        <f>_xlfn.XLOOKUP(D240,[1]!Tabela24[Código consultor],[1]!Tabela24[Canal Consultor],0,0,1)</f>
        <v>PAR_DIG</v>
      </c>
      <c r="G240" s="5" t="str">
        <f>_xlfn.XLOOKUP(B240,[1]!Tabela1[[Cidades ]],[1]!Tabela1[Regional],0,0,1)</f>
        <v>Maycon</v>
      </c>
      <c r="H240" s="8" t="str">
        <f>_xlfn.XLOOKUP(B240,[1]!Tabela1[[Cidades ]],[1]!Tabela1[Gerente],0,0,1)</f>
        <v>Demais coordenadores</v>
      </c>
    </row>
    <row r="241" spans="1:8" x14ac:dyDescent="0.3">
      <c r="A241" s="9" t="s">
        <v>504</v>
      </c>
      <c r="B241" s="10" t="s">
        <v>13</v>
      </c>
      <c r="C241" s="11">
        <v>45833</v>
      </c>
      <c r="D241" s="12">
        <v>694166</v>
      </c>
      <c r="E241" s="5" t="str">
        <f>_xlfn.XLOOKUP(D241,[1]!Tabela24[Código consultor],[1]!Tabela24[Consultor Venda],0,0,1)</f>
        <v>DIG - CCO - CARINE CORREA SOARES</v>
      </c>
      <c r="F241" s="5" t="str">
        <f>_xlfn.XLOOKUP(D241,[1]!Tabela24[Código consultor],[1]!Tabela24[Canal Consultor],0,0,1)</f>
        <v>DIGITAL</v>
      </c>
      <c r="G241" s="10" t="str">
        <f>_xlfn.XLOOKUP(B241,[1]!Tabela1[[Cidades ]],[1]!Tabela1[Regional],0,0,1)</f>
        <v>Alisson</v>
      </c>
      <c r="H241" s="13" t="str">
        <f>_xlfn.XLOOKUP(B241,[1]!Tabela1[[Cidades ]],[1]!Tabela1[Gerente],0,0,1)</f>
        <v>Ariana</v>
      </c>
    </row>
    <row r="242" spans="1:8" x14ac:dyDescent="0.3">
      <c r="A242" s="4" t="s">
        <v>505</v>
      </c>
      <c r="B242" s="5" t="s">
        <v>27</v>
      </c>
      <c r="C242" s="6">
        <v>45833</v>
      </c>
      <c r="D242" s="7">
        <v>683349</v>
      </c>
      <c r="E242" s="5" t="str">
        <f>_xlfn.XLOOKUP(D242,[1]!Tabela24[Código consultor],[1]!Tabela24[Consultor Venda],0,0,1)</f>
        <v>DIG - CCO - EVELLIN SALOA MAIA DA CONCEICAO</v>
      </c>
      <c r="F242" s="5" t="str">
        <f>_xlfn.XLOOKUP(D242,[1]!Tabela24[Código consultor],[1]!Tabela24[Canal Consultor],0,0,1)</f>
        <v>DIGITAL</v>
      </c>
      <c r="G242" s="5" t="str">
        <f>_xlfn.XLOOKUP(B242,[1]!Tabela1[[Cidades ]],[1]!Tabela1[Regional],0,0,1)</f>
        <v>Alisson</v>
      </c>
      <c r="H242" s="8" t="str">
        <f>_xlfn.XLOOKUP(B242,[1]!Tabela1[[Cidades ]],[1]!Tabela1[Gerente],0,0,1)</f>
        <v>Tatiane</v>
      </c>
    </row>
    <row r="243" spans="1:8" x14ac:dyDescent="0.3">
      <c r="A243" s="9" t="s">
        <v>363</v>
      </c>
      <c r="B243" s="10" t="s">
        <v>66</v>
      </c>
      <c r="C243" s="11">
        <v>45833</v>
      </c>
      <c r="D243" s="12">
        <v>833948</v>
      </c>
      <c r="E243" s="5" t="str">
        <f>_xlfn.XLOOKUP(D243,[1]!Tabela24[Código consultor],[1]!Tabela24[Consultor Venda],0,0,1)</f>
        <v>COM - FNS - CRISTIANO CASTRO APARECIDO</v>
      </c>
      <c r="F243" s="5" t="str">
        <f>_xlfn.XLOOKUP(D243,[1]!Tabela24[Código consultor],[1]!Tabela24[Canal Consultor],0,0,1)</f>
        <v>Pap</v>
      </c>
      <c r="G243" s="10" t="str">
        <f>_xlfn.XLOOKUP(B243,[1]!Tabela1[[Cidades ]],[1]!Tabela1[Regional],0,0,1)</f>
        <v>Marcio</v>
      </c>
      <c r="H243" s="13" t="str">
        <f>_xlfn.XLOOKUP(B243,[1]!Tabela1[[Cidades ]],[1]!Tabela1[Gerente],0,0,1)</f>
        <v>Demais coordenadores</v>
      </c>
    </row>
    <row r="244" spans="1:8" x14ac:dyDescent="0.3">
      <c r="A244" s="4" t="s">
        <v>364</v>
      </c>
      <c r="B244" s="5" t="s">
        <v>53</v>
      </c>
      <c r="C244" s="6">
        <v>45833</v>
      </c>
      <c r="D244" s="7">
        <v>197832</v>
      </c>
      <c r="E244" s="5" t="str">
        <f>_xlfn.XLOOKUP(D244,[1]!Tabela24[Código consultor],[1]!Tabela24[Consultor Venda],0,0,1)</f>
        <v>DIG - CCO - RAIANE BERGAMIN</v>
      </c>
      <c r="F244" s="5" t="str">
        <f>_xlfn.XLOOKUP(D244,[1]!Tabela24[Código consultor],[1]!Tabela24[Canal Consultor],0,0,1)</f>
        <v>DIGITAL</v>
      </c>
      <c r="G244" s="5" t="str">
        <f>_xlfn.XLOOKUP(B244,[1]!Tabela1[[Cidades ]],[1]!Tabela1[Regional],0,0,1)</f>
        <v>Adilson</v>
      </c>
      <c r="H244" s="8" t="str">
        <f>_xlfn.XLOOKUP(B244,[1]!Tabela1[[Cidades ]],[1]!Tabela1[Gerente],0,0,1)</f>
        <v>Demais coordenadores</v>
      </c>
    </row>
    <row r="245" spans="1:8" x14ac:dyDescent="0.3">
      <c r="A245" s="9" t="s">
        <v>365</v>
      </c>
      <c r="B245" s="10" t="s">
        <v>32</v>
      </c>
      <c r="C245" s="11">
        <v>45833</v>
      </c>
      <c r="D245" s="12">
        <v>829353</v>
      </c>
      <c r="E245" s="5" t="str">
        <f>_xlfn.XLOOKUP(D245,[1]!Tabela24[Código consultor],[1]!Tabela24[Consultor Venda],0,0,1)</f>
        <v>COM - IGA - KARL EDUARDO MORAES DE ALMEIDA</v>
      </c>
      <c r="F245" s="5" t="str">
        <f>_xlfn.XLOOKUP(D245,[1]!Tabela24[Código consultor],[1]!Tabela24[Canal Consultor],0,0,1)</f>
        <v>Pap</v>
      </c>
      <c r="G245" s="10" t="str">
        <f>_xlfn.XLOOKUP(B245,[1]!Tabela1[[Cidades ]],[1]!Tabela1[Regional],0,0,1)</f>
        <v>Jean</v>
      </c>
      <c r="H245" s="13" t="str">
        <f>_xlfn.XLOOKUP(B245,[1]!Tabela1[[Cidades ]],[1]!Tabela1[Gerente],0,0,1)</f>
        <v>Demais coordenadores</v>
      </c>
    </row>
    <row r="246" spans="1:8" x14ac:dyDescent="0.3">
      <c r="A246" s="4" t="s">
        <v>506</v>
      </c>
      <c r="B246" s="5" t="s">
        <v>33</v>
      </c>
      <c r="C246" s="6">
        <v>45833</v>
      </c>
      <c r="D246" s="7">
        <v>785577</v>
      </c>
      <c r="E246" s="5" t="str">
        <f>_xlfn.XLOOKUP(D246,[1]!Tabela24[Código consultor],[1]!Tabela24[Consultor Venda],0,0,1)</f>
        <v>COM - XXE - LUCIA HELENA RAMOS KOTHE</v>
      </c>
      <c r="F246" s="5" t="str">
        <f>_xlfn.XLOOKUP(D246,[1]!Tabela24[Código consultor],[1]!Tabela24[Canal Consultor],0,0,1)</f>
        <v>INTERNO</v>
      </c>
      <c r="G246" s="5" t="str">
        <f>_xlfn.XLOOKUP(B246,[1]!Tabela1[[Cidades ]],[1]!Tabela1[Regional],0,0,1)</f>
        <v>Maycon</v>
      </c>
      <c r="H246" s="8" t="str">
        <f>_xlfn.XLOOKUP(B246,[1]!Tabela1[[Cidades ]],[1]!Tabela1[Gerente],0,0,1)</f>
        <v>Demais coordenadores</v>
      </c>
    </row>
    <row r="247" spans="1:8" x14ac:dyDescent="0.3">
      <c r="A247" s="9" t="s">
        <v>507</v>
      </c>
      <c r="B247" s="10" t="s">
        <v>88</v>
      </c>
      <c r="C247" s="11">
        <v>45833</v>
      </c>
      <c r="D247" s="12">
        <v>862715</v>
      </c>
      <c r="E247" s="5" t="str">
        <f>_xlfn.XLOOKUP(D247,[1]!Tabela24[Código consultor],[1]!Tabela24[Consultor Venda],0,0,1)</f>
        <v>COM - CUA - NICOLE FLORIANI ALVES</v>
      </c>
      <c r="F247" s="5" t="str">
        <f>_xlfn.XLOOKUP(D247,[1]!Tabela24[Código consultor],[1]!Tabela24[Canal Consultor],0,0,1)</f>
        <v>Pap</v>
      </c>
      <c r="G247" s="10" t="str">
        <f>_xlfn.XLOOKUP(B247,[1]!Tabela1[[Cidades ]],[1]!Tabela1[Regional],0,0,1)</f>
        <v>Marcio</v>
      </c>
      <c r="H247" s="13" t="str">
        <f>_xlfn.XLOOKUP(B247,[1]!Tabela1[[Cidades ]],[1]!Tabela1[Gerente],0,0,1)</f>
        <v>Demais coordenadores</v>
      </c>
    </row>
    <row r="248" spans="1:8" x14ac:dyDescent="0.3">
      <c r="A248" s="4" t="s">
        <v>508</v>
      </c>
      <c r="B248" s="5" t="s">
        <v>10</v>
      </c>
      <c r="C248" s="6">
        <v>45833</v>
      </c>
      <c r="D248" s="7">
        <v>600710</v>
      </c>
      <c r="E248" s="5" t="str">
        <f>_xlfn.XLOOKUP(D248,[1]!Tabela24[Código consultor],[1]!Tabela24[Consultor Venda],0,0,1)</f>
        <v>DIG - CCO - BRUNA BALBINOTTI</v>
      </c>
      <c r="F248" s="5" t="str">
        <f>_xlfn.XLOOKUP(D248,[1]!Tabela24[Código consultor],[1]!Tabela24[Canal Consultor],0,0,1)</f>
        <v>DIGITAL</v>
      </c>
      <c r="G248" s="5" t="str">
        <f>_xlfn.XLOOKUP(B248,[1]!Tabela1[[Cidades ]],[1]!Tabela1[Regional],0,0,1)</f>
        <v>Jean</v>
      </c>
      <c r="H248" s="8" t="str">
        <f>_xlfn.XLOOKUP(B248,[1]!Tabela1[[Cidades ]],[1]!Tabela1[Gerente],0,0,1)</f>
        <v>Demais coordenadores</v>
      </c>
    </row>
    <row r="249" spans="1:8" x14ac:dyDescent="0.3">
      <c r="A249" s="9" t="s">
        <v>509</v>
      </c>
      <c r="B249" s="10" t="s">
        <v>24</v>
      </c>
      <c r="C249" s="11">
        <v>45833</v>
      </c>
      <c r="D249" s="12">
        <v>876183</v>
      </c>
      <c r="E249" s="5" t="str">
        <f>_xlfn.XLOOKUP(D249,[1]!Tabela24[Código consultor],[1]!Tabela24[Consultor Venda],0,0,1)</f>
        <v>COM - SMA - ANDRE DA SILVA DOS SANTOS</v>
      </c>
      <c r="F249" s="5" t="str">
        <f>_xlfn.XLOOKUP(D249,[1]!Tabela24[Código consultor],[1]!Tabela24[Canal Consultor],0,0,1)</f>
        <v>Pap</v>
      </c>
      <c r="G249" s="10" t="str">
        <f>_xlfn.XLOOKUP(B249,[1]!Tabela1[[Cidades ]],[1]!Tabela1[Regional],0,0,1)</f>
        <v>Magno</v>
      </c>
      <c r="H249" s="13" t="str">
        <f>_xlfn.XLOOKUP(B249,[1]!Tabela1[[Cidades ]],[1]!Tabela1[Gerente],0,0,1)</f>
        <v>Demais coordenadores</v>
      </c>
    </row>
    <row r="250" spans="1:8" x14ac:dyDescent="0.3">
      <c r="A250" s="4" t="s">
        <v>510</v>
      </c>
      <c r="B250" s="5" t="s">
        <v>38</v>
      </c>
      <c r="C250" s="6">
        <v>45833</v>
      </c>
      <c r="D250" s="7">
        <v>843112</v>
      </c>
      <c r="E250" s="5" t="str">
        <f>_xlfn.XLOOKUP(D250,[1]!Tabela24[Código consultor],[1]!Tabela24[Consultor Venda],0,0,1)</f>
        <v>COM - TEB - SANDRO GIMONSKI DE SOUZA</v>
      </c>
      <c r="F250" s="5" t="str">
        <f>_xlfn.XLOOKUP(D250,[1]!Tabela24[Código consultor],[1]!Tabela24[Canal Consultor],0,0,1)</f>
        <v>Pap</v>
      </c>
      <c r="G250" s="5" t="str">
        <f>_xlfn.XLOOKUP(B250,[1]!Tabela1[[Cidades ]],[1]!Tabela1[Regional],0,0,1)</f>
        <v>Jean</v>
      </c>
      <c r="H250" s="8" t="str">
        <f>_xlfn.XLOOKUP(B250,[1]!Tabela1[[Cidades ]],[1]!Tabela1[Gerente],0,0,1)</f>
        <v>Demais coordenadores</v>
      </c>
    </row>
    <row r="251" spans="1:8" x14ac:dyDescent="0.3">
      <c r="A251" s="9" t="s">
        <v>511</v>
      </c>
      <c r="B251" s="10" t="s">
        <v>24</v>
      </c>
      <c r="C251" s="11">
        <v>45833</v>
      </c>
      <c r="D251" s="12">
        <v>827465</v>
      </c>
      <c r="E251" s="5" t="str">
        <f>_xlfn.XLOOKUP(D251,[1]!Tabela24[Código consultor],[1]!Tabela24[Consultor Venda],0,0,1)</f>
        <v>DIG - ATV - TAINARA RODRIGUES CORDEIRO</v>
      </c>
      <c r="F251" s="5" t="str">
        <f>_xlfn.XLOOKUP(D251,[1]!Tabela24[Código consultor],[1]!Tabela24[Canal Consultor],0,0,1)</f>
        <v>Televendas Ativo</v>
      </c>
      <c r="G251" s="10" t="str">
        <f>_xlfn.XLOOKUP(B251,[1]!Tabela1[[Cidades ]],[1]!Tabela1[Regional],0,0,1)</f>
        <v>Magno</v>
      </c>
      <c r="H251" s="13" t="str">
        <f>_xlfn.XLOOKUP(B251,[1]!Tabela1[[Cidades ]],[1]!Tabela1[Gerente],0,0,1)</f>
        <v>Demais coordenadores</v>
      </c>
    </row>
    <row r="252" spans="1:8" x14ac:dyDescent="0.3">
      <c r="A252" s="4" t="s">
        <v>512</v>
      </c>
      <c r="B252" s="5" t="s">
        <v>31</v>
      </c>
      <c r="C252" s="6">
        <v>45833</v>
      </c>
      <c r="D252" s="7">
        <v>683349</v>
      </c>
      <c r="E252" s="5" t="str">
        <f>_xlfn.XLOOKUP(D252,[1]!Tabela24[Código consultor],[1]!Tabela24[Consultor Venda],0,0,1)</f>
        <v>DIG - CCO - EVELLIN SALOA MAIA DA CONCEICAO</v>
      </c>
      <c r="F252" s="5" t="str">
        <f>_xlfn.XLOOKUP(D252,[1]!Tabela24[Código consultor],[1]!Tabela24[Canal Consultor],0,0,1)</f>
        <v>DIGITAL</v>
      </c>
      <c r="G252" s="5" t="str">
        <f>_xlfn.XLOOKUP(B252,[1]!Tabela1[[Cidades ]],[1]!Tabela1[Regional],0,0,1)</f>
        <v>Maycon</v>
      </c>
      <c r="H252" s="8" t="str">
        <f>_xlfn.XLOOKUP(B252,[1]!Tabela1[[Cidades ]],[1]!Tabela1[Gerente],0,0,1)</f>
        <v>Demais coordenadores</v>
      </c>
    </row>
    <row r="253" spans="1:8" x14ac:dyDescent="0.3">
      <c r="A253" s="9" t="s">
        <v>513</v>
      </c>
      <c r="B253" s="10" t="s">
        <v>69</v>
      </c>
      <c r="C253" s="11">
        <v>45833</v>
      </c>
      <c r="D253" s="12">
        <v>437804</v>
      </c>
      <c r="E253" s="5" t="str">
        <f>_xlfn.XLOOKUP(D253,[1]!Tabela24[Código consultor],[1]!Tabela24[Consultor Venda],0,0,1)</f>
        <v>COM - PZO - SUELEN CRISTINA FREY</v>
      </c>
      <c r="F253" s="5" t="str">
        <f>_xlfn.XLOOKUP(D253,[1]!Tabela24[Código consultor],[1]!Tabela24[Canal Consultor],0,0,1)</f>
        <v>INTERNO</v>
      </c>
      <c r="G253" s="10" t="str">
        <f>_xlfn.XLOOKUP(B253,[1]!Tabela1[[Cidades ]],[1]!Tabela1[Regional],0,0,1)</f>
        <v>Maycon</v>
      </c>
      <c r="H253" s="13" t="str">
        <f>_xlfn.XLOOKUP(B253,[1]!Tabela1[[Cidades ]],[1]!Tabela1[Gerente],0,0,1)</f>
        <v>Demais coordenadores</v>
      </c>
    </row>
    <row r="254" spans="1:8" x14ac:dyDescent="0.3">
      <c r="A254" s="4" t="s">
        <v>514</v>
      </c>
      <c r="B254" s="5" t="s">
        <v>24</v>
      </c>
      <c r="C254" s="6">
        <v>45833</v>
      </c>
      <c r="D254" s="7">
        <v>788656</v>
      </c>
      <c r="E254" s="5" t="str">
        <f>_xlfn.XLOOKUP(D254,[1]!Tabela24[Código consultor],[1]!Tabela24[Consultor Venda],0,0,1)</f>
        <v>PAR - STB - PAP - JOY TELECOM - GABRIELA ALVES DE GODOY</v>
      </c>
      <c r="F254" s="5" t="str">
        <f>_xlfn.XLOOKUP(D254,[1]!Tabela24[Código consultor],[1]!Tabela24[Canal Consultor],0,0,1)</f>
        <v>PAR_DIG</v>
      </c>
      <c r="G254" s="5" t="str">
        <f>_xlfn.XLOOKUP(B254,[1]!Tabela1[[Cidades ]],[1]!Tabela1[Regional],0,0,1)</f>
        <v>Magno</v>
      </c>
      <c r="H254" s="8" t="str">
        <f>_xlfn.XLOOKUP(B254,[1]!Tabela1[[Cidades ]],[1]!Tabela1[Gerente],0,0,1)</f>
        <v>Demais coordenadores</v>
      </c>
    </row>
    <row r="255" spans="1:8" x14ac:dyDescent="0.3">
      <c r="A255" s="9" t="s">
        <v>515</v>
      </c>
      <c r="B255" s="10" t="s">
        <v>11</v>
      </c>
      <c r="C255" s="11">
        <v>45833</v>
      </c>
      <c r="D255" s="12">
        <v>861705</v>
      </c>
      <c r="E255" s="5" t="str">
        <f>_xlfn.XLOOKUP(D255,[1]!Tabela24[Código consultor],[1]!Tabela24[Consultor Venda],0,0,1)</f>
        <v>PAR - COM - PAP - TQR - ERIKA DE OLIVEIRA GALLE</v>
      </c>
      <c r="F255" s="5" t="str">
        <f>_xlfn.XLOOKUP(D255,[1]!Tabela24[Código consultor],[1]!Tabela24[Canal Consultor],0,0,1)</f>
        <v>PAR</v>
      </c>
      <c r="G255" s="10" t="str">
        <f>_xlfn.XLOOKUP(B255,[1]!Tabela1[[Cidades ]],[1]!Tabela1[Regional],0,0,1)</f>
        <v>Magno</v>
      </c>
      <c r="H255" s="13" t="str">
        <f>_xlfn.XLOOKUP(B255,[1]!Tabela1[[Cidades ]],[1]!Tabela1[Gerente],0,0,1)</f>
        <v>Demais coordenadores</v>
      </c>
    </row>
    <row r="256" spans="1:8" x14ac:dyDescent="0.3">
      <c r="A256" s="4" t="s">
        <v>516</v>
      </c>
      <c r="B256" s="5" t="s">
        <v>39</v>
      </c>
      <c r="C256" s="6">
        <v>45833</v>
      </c>
      <c r="D256" s="7">
        <v>547570</v>
      </c>
      <c r="E256" s="5" t="str">
        <f>_xlfn.XLOOKUP(D256,[1]!Tabela24[Código consultor],[1]!Tabela24[Consultor Venda],0,0,1)</f>
        <v>COM - LGS - ISABEL CRISTINA RODRIGUES DE JESUS</v>
      </c>
      <c r="F256" s="5" t="str">
        <f>_xlfn.XLOOKUP(D256,[1]!Tabela24[Código consultor],[1]!Tabela24[Canal Consultor],0,0,1)</f>
        <v>INTERNO</v>
      </c>
      <c r="G256" s="5" t="str">
        <f>_xlfn.XLOOKUP(B256,[1]!Tabela1[[Cidades ]],[1]!Tabela1[Regional],0,0,1)</f>
        <v>Marcio</v>
      </c>
      <c r="H256" s="8" t="str">
        <f>_xlfn.XLOOKUP(B256,[1]!Tabela1[[Cidades ]],[1]!Tabela1[Gerente],0,0,1)</f>
        <v>Demais coordenadores</v>
      </c>
    </row>
    <row r="257" spans="1:8" x14ac:dyDescent="0.3">
      <c r="A257" s="9" t="s">
        <v>517</v>
      </c>
      <c r="B257" s="10" t="s">
        <v>50</v>
      </c>
      <c r="C257" s="11">
        <v>45833</v>
      </c>
      <c r="D257" s="12">
        <v>235841</v>
      </c>
      <c r="E257" s="5" t="str">
        <f>_xlfn.XLOOKUP(D257,[1]!Tabela24[Código consultor],[1]!Tabela24[Consultor Venda],0,0,1)</f>
        <v>DIG - CCO - KAUANA BONI</v>
      </c>
      <c r="F257" s="5" t="str">
        <f>_xlfn.XLOOKUP(D257,[1]!Tabela24[Código consultor],[1]!Tabela24[Canal Consultor],0,0,1)</f>
        <v>DIGITAL</v>
      </c>
      <c r="G257" s="10" t="str">
        <f>_xlfn.XLOOKUP(B257,[1]!Tabela1[[Cidades ]],[1]!Tabela1[Regional],0,0,1)</f>
        <v>Marcio</v>
      </c>
      <c r="H257" s="13" t="str">
        <f>_xlfn.XLOOKUP(B257,[1]!Tabela1[[Cidades ]],[1]!Tabela1[Gerente],0,0,1)</f>
        <v>Demais coordenadores</v>
      </c>
    </row>
    <row r="258" spans="1:8" x14ac:dyDescent="0.3">
      <c r="A258" s="4" t="s">
        <v>518</v>
      </c>
      <c r="B258" s="5" t="s">
        <v>32</v>
      </c>
      <c r="C258" s="6">
        <v>45833</v>
      </c>
      <c r="D258" s="7">
        <v>576121</v>
      </c>
      <c r="E258" s="5" t="str">
        <f>_xlfn.XLOOKUP(D258,[1]!Tabela24[Código consultor],[1]!Tabela24[Consultor Venda],0,0,1)</f>
        <v>COM - IGA - LEONARDO XAVIER GOMES</v>
      </c>
      <c r="F258" s="5" t="str">
        <f>_xlfn.XLOOKUP(D258,[1]!Tabela24[Código consultor],[1]!Tabela24[Canal Consultor],0,0,1)</f>
        <v>Pap</v>
      </c>
      <c r="G258" s="5" t="str">
        <f>_xlfn.XLOOKUP(B258,[1]!Tabela1[[Cidades ]],[1]!Tabela1[Regional],0,0,1)</f>
        <v>Jean</v>
      </c>
      <c r="H258" s="8" t="str">
        <f>_xlfn.XLOOKUP(B258,[1]!Tabela1[[Cidades ]],[1]!Tabela1[Gerente],0,0,1)</f>
        <v>Demais coordenadores</v>
      </c>
    </row>
    <row r="259" spans="1:8" x14ac:dyDescent="0.3">
      <c r="A259" s="9" t="s">
        <v>519</v>
      </c>
      <c r="B259" s="10" t="s">
        <v>34</v>
      </c>
      <c r="C259" s="11">
        <v>45833</v>
      </c>
      <c r="D259" s="12">
        <v>197832</v>
      </c>
      <c r="E259" s="5" t="str">
        <f>_xlfn.XLOOKUP(D259,[1]!Tabela24[Código consultor],[1]!Tabela24[Consultor Venda],0,0,1)</f>
        <v>DIG - CCO - RAIANE BERGAMIN</v>
      </c>
      <c r="F259" s="5" t="str">
        <f>_xlfn.XLOOKUP(D259,[1]!Tabela24[Código consultor],[1]!Tabela24[Canal Consultor],0,0,1)</f>
        <v>DIGITAL</v>
      </c>
      <c r="G259" s="10" t="str">
        <f>_xlfn.XLOOKUP(B259,[1]!Tabela1[[Cidades ]],[1]!Tabela1[Regional],0,0,1)</f>
        <v>Alisson</v>
      </c>
      <c r="H259" s="13" t="str">
        <f>_xlfn.XLOOKUP(B259,[1]!Tabela1[[Cidades ]],[1]!Tabela1[Gerente],0,0,1)</f>
        <v>Karine</v>
      </c>
    </row>
    <row r="260" spans="1:8" x14ac:dyDescent="0.3">
      <c r="A260" s="4" t="s">
        <v>520</v>
      </c>
      <c r="B260" s="5" t="s">
        <v>44</v>
      </c>
      <c r="C260" s="6">
        <v>45833</v>
      </c>
      <c r="D260" s="7">
        <v>674036</v>
      </c>
      <c r="E260" s="5" t="str">
        <f>_xlfn.XLOOKUP(D260,[1]!Tabela24[Código consultor],[1]!Tabela24[Consultor Venda],0,0,1)</f>
        <v>COM - IRI - RODRIGO SOARES DA SILVA</v>
      </c>
      <c r="F260" s="5" t="str">
        <f>_xlfn.XLOOKUP(D260,[1]!Tabela24[Código consultor],[1]!Tabela24[Canal Consultor],0,0,1)</f>
        <v>Pap</v>
      </c>
      <c r="G260" s="5" t="str">
        <f>_xlfn.XLOOKUP(B260,[1]!Tabela1[[Cidades ]],[1]!Tabela1[Regional],0,0,1)</f>
        <v>Jean</v>
      </c>
      <c r="H260" s="8" t="str">
        <f>_xlfn.XLOOKUP(B260,[1]!Tabela1[[Cidades ]],[1]!Tabela1[Gerente],0,0,1)</f>
        <v>Demais coordenadores</v>
      </c>
    </row>
    <row r="261" spans="1:8" x14ac:dyDescent="0.3">
      <c r="A261" s="9" t="s">
        <v>371</v>
      </c>
      <c r="B261" s="10" t="s">
        <v>12</v>
      </c>
      <c r="C261" s="11">
        <v>45833</v>
      </c>
      <c r="D261" s="12">
        <v>233138</v>
      </c>
      <c r="E261" s="5" t="str">
        <f>_xlfn.XLOOKUP(D261,[1]!Tabela24[Código consultor],[1]!Tabela24[Consultor Venda],0,0,1)</f>
        <v>PAR - INTE - GRP - MOBILE HD - ALINE KARNOSKI</v>
      </c>
      <c r="F261" s="5" t="str">
        <f>_xlfn.XLOOKUP(D261,[1]!Tabela24[Código consultor],[1]!Tabela24[Canal Consultor],0,0,1)</f>
        <v>PAR</v>
      </c>
      <c r="G261" s="10" t="str">
        <f>_xlfn.XLOOKUP(B261,[1]!Tabela1[[Cidades ]],[1]!Tabela1[Regional],0,0,1)</f>
        <v>Jean</v>
      </c>
      <c r="H261" s="13" t="str">
        <f>_xlfn.XLOOKUP(B261,[1]!Tabela1[[Cidades ]],[1]!Tabela1[Gerente],0,0,1)</f>
        <v>Demais coordenadores</v>
      </c>
    </row>
    <row r="262" spans="1:8" x14ac:dyDescent="0.3">
      <c r="A262" s="4" t="s">
        <v>372</v>
      </c>
      <c r="B262" s="5" t="s">
        <v>22</v>
      </c>
      <c r="C262" s="6">
        <v>45833</v>
      </c>
      <c r="D262" s="7">
        <v>788656</v>
      </c>
      <c r="E262" s="5" t="str">
        <f>_xlfn.XLOOKUP(D262,[1]!Tabela24[Código consultor],[1]!Tabela24[Consultor Venda],0,0,1)</f>
        <v>PAR - STB - PAP - JOY TELECOM - GABRIELA ALVES DE GODOY</v>
      </c>
      <c r="F262" s="5" t="str">
        <f>_xlfn.XLOOKUP(D262,[1]!Tabela24[Código consultor],[1]!Tabela24[Canal Consultor],0,0,1)</f>
        <v>PAR_DIG</v>
      </c>
      <c r="G262" s="5" t="str">
        <f>_xlfn.XLOOKUP(B262,[1]!Tabela1[[Cidades ]],[1]!Tabela1[Regional],0,0,1)</f>
        <v>Magno</v>
      </c>
      <c r="H262" s="8" t="str">
        <f>_xlfn.XLOOKUP(B262,[1]!Tabela1[[Cidades ]],[1]!Tabela1[Gerente],0,0,1)</f>
        <v>Demais coordenadores</v>
      </c>
    </row>
    <row r="263" spans="1:8" x14ac:dyDescent="0.3">
      <c r="A263" s="9" t="s">
        <v>521</v>
      </c>
      <c r="B263" s="10" t="s">
        <v>10</v>
      </c>
      <c r="C263" s="11">
        <v>45833</v>
      </c>
      <c r="D263" s="12">
        <v>525458</v>
      </c>
      <c r="E263" s="5" t="str">
        <f>_xlfn.XLOOKUP(D263,[1]!Tabela24[Código consultor],[1]!Tabela24[Consultor Venda],0,0,1)</f>
        <v>PAR - ADM - GRP - FIGUEREDO MOBILE  - JOSELIO O. P. JUNIOR</v>
      </c>
      <c r="F263" s="5" t="str">
        <f>_xlfn.XLOOKUP(D263,[1]!Tabela24[Código consultor],[1]!Tabela24[Canal Consultor],0,0,1)</f>
        <v>PAR</v>
      </c>
      <c r="G263" s="10" t="str">
        <f>_xlfn.XLOOKUP(B263,[1]!Tabela1[[Cidades ]],[1]!Tabela1[Regional],0,0,1)</f>
        <v>Jean</v>
      </c>
      <c r="H263" s="13" t="str">
        <f>_xlfn.XLOOKUP(B263,[1]!Tabela1[[Cidades ]],[1]!Tabela1[Gerente],0,0,1)</f>
        <v>Demais coordenadores</v>
      </c>
    </row>
    <row r="264" spans="1:8" x14ac:dyDescent="0.3">
      <c r="A264" s="4" t="s">
        <v>373</v>
      </c>
      <c r="B264" s="5" t="s">
        <v>19</v>
      </c>
      <c r="C264" s="6">
        <v>45833</v>
      </c>
      <c r="D264" s="7">
        <v>653931</v>
      </c>
      <c r="E264" s="5" t="str">
        <f>_xlfn.XLOOKUP(D264,[1]!Tabela24[Código consultor],[1]!Tabela24[Consultor Venda],0,0,1)</f>
        <v>COM - CHN - SANTIAGO DA SILVA RODRIGUES</v>
      </c>
      <c r="F264" s="5" t="str">
        <f>_xlfn.XLOOKUP(D264,[1]!Tabela24[Código consultor],[1]!Tabela24[Canal Consultor],0,0,1)</f>
        <v>Pap</v>
      </c>
      <c r="G264" s="5" t="str">
        <f>_xlfn.XLOOKUP(B264,[1]!Tabela1[[Cidades ]],[1]!Tabela1[Regional],0,0,1)</f>
        <v>Magno</v>
      </c>
      <c r="H264" s="8" t="str">
        <f>_xlfn.XLOOKUP(B264,[1]!Tabela1[[Cidades ]],[1]!Tabela1[Gerente],0,0,1)</f>
        <v>Demais coordenadores</v>
      </c>
    </row>
    <row r="265" spans="1:8" x14ac:dyDescent="0.3">
      <c r="A265" s="9" t="s">
        <v>522</v>
      </c>
      <c r="B265" s="10" t="s">
        <v>100</v>
      </c>
      <c r="C265" s="11">
        <v>45833</v>
      </c>
      <c r="D265" s="12">
        <v>555881</v>
      </c>
      <c r="E265" s="5" t="str">
        <f>_xlfn.XLOOKUP(D265,[1]!Tabela24[Código consultor],[1]!Tabela24[Consultor Venda],0,0,1)</f>
        <v>COM - IGA - LUIS FELIPE SIQUEIRA DE LIMA</v>
      </c>
      <c r="F265" s="5" t="str">
        <f>_xlfn.XLOOKUP(D265,[1]!Tabela24[Código consultor],[1]!Tabela24[Canal Consultor],0,0,1)</f>
        <v>INTERNO</v>
      </c>
      <c r="G265" s="10" t="str">
        <f>_xlfn.XLOOKUP(B265,[1]!Tabela1[[Cidades ]],[1]!Tabela1[Regional],0,0,1)</f>
        <v>Jean</v>
      </c>
      <c r="H265" s="13" t="str">
        <f>_xlfn.XLOOKUP(B265,[1]!Tabela1[[Cidades ]],[1]!Tabela1[Gerente],0,0,1)</f>
        <v>Demais coordenadores</v>
      </c>
    </row>
    <row r="266" spans="1:8" x14ac:dyDescent="0.3">
      <c r="A266" s="4" t="s">
        <v>375</v>
      </c>
      <c r="B266" s="5" t="s">
        <v>39</v>
      </c>
      <c r="C266" s="6">
        <v>45833</v>
      </c>
      <c r="D266" s="7">
        <v>600710</v>
      </c>
      <c r="E266" s="5" t="str">
        <f>_xlfn.XLOOKUP(D266,[1]!Tabela24[Código consultor],[1]!Tabela24[Consultor Venda],0,0,1)</f>
        <v>DIG - CCO - BRUNA BALBINOTTI</v>
      </c>
      <c r="F266" s="5" t="str">
        <f>_xlfn.XLOOKUP(D266,[1]!Tabela24[Código consultor],[1]!Tabela24[Canal Consultor],0,0,1)</f>
        <v>DIGITAL</v>
      </c>
      <c r="G266" s="5" t="str">
        <f>_xlfn.XLOOKUP(B266,[1]!Tabela1[[Cidades ]],[1]!Tabela1[Regional],0,0,1)</f>
        <v>Marcio</v>
      </c>
      <c r="H266" s="8" t="str">
        <f>_xlfn.XLOOKUP(B266,[1]!Tabela1[[Cidades ]],[1]!Tabela1[Gerente],0,0,1)</f>
        <v>Demais coordenadores</v>
      </c>
    </row>
    <row r="267" spans="1:8" x14ac:dyDescent="0.3">
      <c r="A267" s="9" t="s">
        <v>376</v>
      </c>
      <c r="B267" s="10" t="s">
        <v>38</v>
      </c>
      <c r="C267" s="11">
        <v>45833</v>
      </c>
      <c r="D267" s="12">
        <v>559912</v>
      </c>
      <c r="E267" s="5" t="str">
        <f>_xlfn.XLOOKUP(D267,[1]!Tabela24[Código consultor],[1]!Tabela24[Consultor Venda],0,0,1)</f>
        <v>COM - TEB - DEVAIR DE JESUS TALEVI</v>
      </c>
      <c r="F267" s="5" t="str">
        <f>_xlfn.XLOOKUP(D267,[1]!Tabela24[Código consultor],[1]!Tabela24[Canal Consultor],0,0,1)</f>
        <v>Pap</v>
      </c>
      <c r="G267" s="10" t="str">
        <f>_xlfn.XLOOKUP(B267,[1]!Tabela1[[Cidades ]],[1]!Tabela1[Regional],0,0,1)</f>
        <v>Jean</v>
      </c>
      <c r="H267" s="13" t="str">
        <f>_xlfn.XLOOKUP(B267,[1]!Tabela1[[Cidades ]],[1]!Tabela1[Gerente],0,0,1)</f>
        <v>Demais coordenadores</v>
      </c>
    </row>
    <row r="268" spans="1:8" x14ac:dyDescent="0.3">
      <c r="A268" s="4" t="s">
        <v>523</v>
      </c>
      <c r="B268" s="5" t="s">
        <v>60</v>
      </c>
      <c r="C268" s="6">
        <v>45833</v>
      </c>
      <c r="D268" s="7">
        <v>197832</v>
      </c>
      <c r="E268" s="5" t="str">
        <f>_xlfn.XLOOKUP(D268,[1]!Tabela24[Código consultor],[1]!Tabela24[Consultor Venda],0,0,1)</f>
        <v>DIG - CCO - RAIANE BERGAMIN</v>
      </c>
      <c r="F268" s="5" t="str">
        <f>_xlfn.XLOOKUP(D268,[1]!Tabela24[Código consultor],[1]!Tabela24[Canal Consultor],0,0,1)</f>
        <v>DIGITAL</v>
      </c>
      <c r="G268" s="5" t="str">
        <f>_xlfn.XLOOKUP(B268,[1]!Tabela1[[Cidades ]],[1]!Tabela1[Regional],0,0,1)</f>
        <v>Magno</v>
      </c>
      <c r="H268" s="8" t="str">
        <f>_xlfn.XLOOKUP(B268,[1]!Tabela1[[Cidades ]],[1]!Tabela1[Gerente],0,0,1)</f>
        <v>Demais coordenadores</v>
      </c>
    </row>
    <row r="269" spans="1:8" x14ac:dyDescent="0.3">
      <c r="A269" s="9" t="s">
        <v>524</v>
      </c>
      <c r="B269" s="10" t="s">
        <v>19</v>
      </c>
      <c r="C269" s="11">
        <v>45833</v>
      </c>
      <c r="D269" s="12">
        <v>653931</v>
      </c>
      <c r="E269" s="5" t="str">
        <f>_xlfn.XLOOKUP(D269,[1]!Tabela24[Código consultor],[1]!Tabela24[Consultor Venda],0,0,1)</f>
        <v>COM - CHN - SANTIAGO DA SILVA RODRIGUES</v>
      </c>
      <c r="F269" s="5" t="str">
        <f>_xlfn.XLOOKUP(D269,[1]!Tabela24[Código consultor],[1]!Tabela24[Canal Consultor],0,0,1)</f>
        <v>Pap</v>
      </c>
      <c r="G269" s="10" t="str">
        <f>_xlfn.XLOOKUP(B269,[1]!Tabela1[[Cidades ]],[1]!Tabela1[Regional],0,0,1)</f>
        <v>Magno</v>
      </c>
      <c r="H269" s="13" t="str">
        <f>_xlfn.XLOOKUP(B269,[1]!Tabela1[[Cidades ]],[1]!Tabela1[Gerente],0,0,1)</f>
        <v>Demais coordenadores</v>
      </c>
    </row>
    <row r="270" spans="1:8" x14ac:dyDescent="0.3">
      <c r="A270" s="4" t="s">
        <v>525</v>
      </c>
      <c r="B270" s="5" t="s">
        <v>30</v>
      </c>
      <c r="C270" s="6">
        <v>45833</v>
      </c>
      <c r="D270" s="7">
        <v>867522</v>
      </c>
      <c r="E270" s="5" t="str">
        <f>_xlfn.XLOOKUP(D270,[1]!Tabela24[Código consultor],[1]!Tabela24[Consultor Venda],0,0,1)</f>
        <v>COM - IGA - SANDRO CESAR MARTINS</v>
      </c>
      <c r="F270" s="5" t="str">
        <f>_xlfn.XLOOKUP(D270,[1]!Tabela24[Código consultor],[1]!Tabela24[Canal Consultor],0,0,1)</f>
        <v>Pap</v>
      </c>
      <c r="G270" s="5" t="str">
        <f>_xlfn.XLOOKUP(B270,[1]!Tabela1[[Cidades ]],[1]!Tabela1[Regional],0,0,1)</f>
        <v>Jean</v>
      </c>
      <c r="H270" s="8" t="str">
        <f>_xlfn.XLOOKUP(B270,[1]!Tabela1[[Cidades ]],[1]!Tabela1[Gerente],0,0,1)</f>
        <v>Demais coordenadores</v>
      </c>
    </row>
    <row r="271" spans="1:8" x14ac:dyDescent="0.3">
      <c r="A271" s="9" t="s">
        <v>379</v>
      </c>
      <c r="B271" s="10" t="s">
        <v>12</v>
      </c>
      <c r="C271" s="11">
        <v>45833</v>
      </c>
      <c r="D271" s="12">
        <v>788656</v>
      </c>
      <c r="E271" s="5" t="str">
        <f>_xlfn.XLOOKUP(D271,[1]!Tabela24[Código consultor],[1]!Tabela24[Consultor Venda],0,0,1)</f>
        <v>PAR - STB - PAP - JOY TELECOM - GABRIELA ALVES DE GODOY</v>
      </c>
      <c r="F271" s="5" t="str">
        <f>_xlfn.XLOOKUP(D271,[1]!Tabela24[Código consultor],[1]!Tabela24[Canal Consultor],0,0,1)</f>
        <v>PAR_DIG</v>
      </c>
      <c r="G271" s="10" t="str">
        <f>_xlfn.XLOOKUP(B271,[1]!Tabela1[[Cidades ]],[1]!Tabela1[Regional],0,0,1)</f>
        <v>Jean</v>
      </c>
      <c r="H271" s="13" t="str">
        <f>_xlfn.XLOOKUP(B271,[1]!Tabela1[[Cidades ]],[1]!Tabela1[Gerente],0,0,1)</f>
        <v>Demais coordenadores</v>
      </c>
    </row>
    <row r="272" spans="1:8" x14ac:dyDescent="0.3">
      <c r="A272" s="4" t="s">
        <v>286</v>
      </c>
      <c r="B272" s="5" t="s">
        <v>37</v>
      </c>
      <c r="C272" s="6">
        <v>45833</v>
      </c>
      <c r="D272" s="7">
        <v>886911</v>
      </c>
      <c r="E272" s="5" t="str">
        <f>_xlfn.XLOOKUP(D272,[1]!Tabela24[Código consultor],[1]!Tabela24[Consultor Venda],0,0,1)</f>
        <v>COM - SOC - KAUAN ARAUJO SILVA</v>
      </c>
      <c r="F272" s="5" t="str">
        <f>_xlfn.XLOOKUP(D272,[1]!Tabela24[Código consultor],[1]!Tabela24[Canal Consultor],0,0,1)</f>
        <v>Pap</v>
      </c>
      <c r="G272" s="5" t="str">
        <f>_xlfn.XLOOKUP(B272,[1]!Tabela1[[Cidades ]],[1]!Tabela1[Regional],0,0,1)</f>
        <v>Jean</v>
      </c>
      <c r="H272" s="8" t="str">
        <f>_xlfn.XLOOKUP(B272,[1]!Tabela1[[Cidades ]],[1]!Tabela1[Gerente],0,0,1)</f>
        <v>Demais coordenadores</v>
      </c>
    </row>
    <row r="273" spans="1:8" x14ac:dyDescent="0.3">
      <c r="A273" s="9" t="s">
        <v>526</v>
      </c>
      <c r="B273" s="10" t="s">
        <v>24</v>
      </c>
      <c r="C273" s="11">
        <v>45833</v>
      </c>
      <c r="D273" s="12">
        <v>788656</v>
      </c>
      <c r="E273" s="5" t="str">
        <f>_xlfn.XLOOKUP(D273,[1]!Tabela24[Código consultor],[1]!Tabela24[Consultor Venda],0,0,1)</f>
        <v>PAR - STB - PAP - JOY TELECOM - GABRIELA ALVES DE GODOY</v>
      </c>
      <c r="F273" s="5" t="str">
        <f>_xlfn.XLOOKUP(D273,[1]!Tabela24[Código consultor],[1]!Tabela24[Canal Consultor],0,0,1)</f>
        <v>PAR_DIG</v>
      </c>
      <c r="G273" s="10" t="str">
        <f>_xlfn.XLOOKUP(B273,[1]!Tabela1[[Cidades ]],[1]!Tabela1[Regional],0,0,1)</f>
        <v>Magno</v>
      </c>
      <c r="H273" s="13" t="str">
        <f>_xlfn.XLOOKUP(B273,[1]!Tabela1[[Cidades ]],[1]!Tabela1[Gerente],0,0,1)</f>
        <v>Demais coordenadores</v>
      </c>
    </row>
    <row r="274" spans="1:8" x14ac:dyDescent="0.3">
      <c r="A274" s="4" t="s">
        <v>527</v>
      </c>
      <c r="B274" s="5" t="s">
        <v>23</v>
      </c>
      <c r="C274" s="6">
        <v>45833</v>
      </c>
      <c r="D274" s="7">
        <v>880152</v>
      </c>
      <c r="E274" s="5" t="str">
        <f>_xlfn.XLOOKUP(D274,[1]!Tabela24[Código consultor],[1]!Tabela24[Consultor Venda],0,0,1)</f>
        <v>COM - CAN - JHULIANA FREITAS SCHMACHTENBERG</v>
      </c>
      <c r="F274" s="5" t="str">
        <f>_xlfn.XLOOKUP(D274,[1]!Tabela24[Código consultor],[1]!Tabela24[Canal Consultor],0,0,1)</f>
        <v>INTERNO</v>
      </c>
      <c r="G274" s="5" t="str">
        <f>_xlfn.XLOOKUP(B274,[1]!Tabela1[[Cidades ]],[1]!Tabela1[Regional],0,0,1)</f>
        <v>Magno</v>
      </c>
      <c r="H274" s="8" t="str">
        <f>_xlfn.XLOOKUP(B274,[1]!Tabela1[[Cidades ]],[1]!Tabela1[Gerente],0,0,1)</f>
        <v>Demais coordenadores</v>
      </c>
    </row>
    <row r="275" spans="1:8" x14ac:dyDescent="0.3">
      <c r="A275" s="9" t="s">
        <v>381</v>
      </c>
      <c r="B275" s="10" t="s">
        <v>22</v>
      </c>
      <c r="C275" s="11">
        <v>45833</v>
      </c>
      <c r="D275" s="12">
        <v>827465</v>
      </c>
      <c r="E275" s="5" t="str">
        <f>_xlfn.XLOOKUP(D275,[1]!Tabela24[Código consultor],[1]!Tabela24[Consultor Venda],0,0,1)</f>
        <v>DIG - ATV - TAINARA RODRIGUES CORDEIRO</v>
      </c>
      <c r="F275" s="5" t="str">
        <f>_xlfn.XLOOKUP(D275,[1]!Tabela24[Código consultor],[1]!Tabela24[Canal Consultor],0,0,1)</f>
        <v>Televendas Ativo</v>
      </c>
      <c r="G275" s="10" t="str">
        <f>_xlfn.XLOOKUP(B275,[1]!Tabela1[[Cidades ]],[1]!Tabela1[Regional],0,0,1)</f>
        <v>Magno</v>
      </c>
      <c r="H275" s="13" t="str">
        <f>_xlfn.XLOOKUP(B275,[1]!Tabela1[[Cidades ]],[1]!Tabela1[Gerente],0,0,1)</f>
        <v>Demais coordenadores</v>
      </c>
    </row>
    <row r="276" spans="1:8" x14ac:dyDescent="0.3">
      <c r="A276" s="4" t="s">
        <v>528</v>
      </c>
      <c r="B276" s="5" t="s">
        <v>70</v>
      </c>
      <c r="C276" s="6">
        <v>45833</v>
      </c>
      <c r="D276" s="7">
        <v>827465</v>
      </c>
      <c r="E276" s="5" t="str">
        <f>_xlfn.XLOOKUP(D276,[1]!Tabela24[Código consultor],[1]!Tabela24[Consultor Venda],0,0,1)</f>
        <v>DIG - ATV - TAINARA RODRIGUES CORDEIRO</v>
      </c>
      <c r="F276" s="5" t="str">
        <f>_xlfn.XLOOKUP(D276,[1]!Tabela24[Código consultor],[1]!Tabela24[Canal Consultor],0,0,1)</f>
        <v>Televendas Ativo</v>
      </c>
      <c r="G276" s="5" t="str">
        <f>_xlfn.XLOOKUP(B276,[1]!Tabela1[[Cidades ]],[1]!Tabela1[Regional],0,0,1)</f>
        <v>Alisson</v>
      </c>
      <c r="H276" s="8" t="str">
        <f>_xlfn.XLOOKUP(B276,[1]!Tabela1[[Cidades ]],[1]!Tabela1[Gerente],0,0,1)</f>
        <v>Ariana</v>
      </c>
    </row>
    <row r="277" spans="1:8" x14ac:dyDescent="0.3">
      <c r="A277" s="9" t="s">
        <v>529</v>
      </c>
      <c r="B277" s="10" t="s">
        <v>38</v>
      </c>
      <c r="C277" s="11">
        <v>45833</v>
      </c>
      <c r="D277" s="12">
        <v>822704</v>
      </c>
      <c r="E277" s="5" t="str">
        <f>_xlfn.XLOOKUP(D277,[1]!Tabela24[Código consultor],[1]!Tabela24[Consultor Venda],0,0,1)</f>
        <v>PAR - PAP - V S MONTEIRO - VINICIUS SILVA MONTEIRO</v>
      </c>
      <c r="F277" s="5" t="str">
        <f>_xlfn.XLOOKUP(D277,[1]!Tabela24[Código consultor],[1]!Tabela24[Canal Consultor],0,0,1)</f>
        <v>PAR</v>
      </c>
      <c r="G277" s="10" t="str">
        <f>_xlfn.XLOOKUP(B277,[1]!Tabela1[[Cidades ]],[1]!Tabela1[Regional],0,0,1)</f>
        <v>Jean</v>
      </c>
      <c r="H277" s="13" t="str">
        <f>_xlfn.XLOOKUP(B277,[1]!Tabela1[[Cidades ]],[1]!Tabela1[Gerente],0,0,1)</f>
        <v>Demais coordenadores</v>
      </c>
    </row>
    <row r="278" spans="1:8" x14ac:dyDescent="0.3">
      <c r="A278" s="4" t="s">
        <v>530</v>
      </c>
      <c r="B278" s="5" t="s">
        <v>11</v>
      </c>
      <c r="C278" s="6">
        <v>45833</v>
      </c>
      <c r="D278" s="7">
        <v>861705</v>
      </c>
      <c r="E278" s="5" t="str">
        <f>_xlfn.XLOOKUP(D278,[1]!Tabela24[Código consultor],[1]!Tabela24[Consultor Venda],0,0,1)</f>
        <v>PAR - COM - PAP - TQR - ERIKA DE OLIVEIRA GALLE</v>
      </c>
      <c r="F278" s="5" t="str">
        <f>_xlfn.XLOOKUP(D278,[1]!Tabela24[Código consultor],[1]!Tabela24[Canal Consultor],0,0,1)</f>
        <v>PAR</v>
      </c>
      <c r="G278" s="5" t="str">
        <f>_xlfn.XLOOKUP(B278,[1]!Tabela1[[Cidades ]],[1]!Tabela1[Regional],0,0,1)</f>
        <v>Magno</v>
      </c>
      <c r="H278" s="8" t="str">
        <f>_xlfn.XLOOKUP(B278,[1]!Tabela1[[Cidades ]],[1]!Tabela1[Gerente],0,0,1)</f>
        <v>Demais coordenadores</v>
      </c>
    </row>
    <row r="279" spans="1:8" x14ac:dyDescent="0.3">
      <c r="A279" s="9" t="s">
        <v>383</v>
      </c>
      <c r="B279" s="10" t="s">
        <v>11</v>
      </c>
      <c r="C279" s="11">
        <v>45833</v>
      </c>
      <c r="D279" s="12">
        <v>827985</v>
      </c>
      <c r="E279" s="5" t="str">
        <f>_xlfn.XLOOKUP(D279,[1]!Tabela24[Código consultor],[1]!Tabela24[Consultor Venda],0,0,1)</f>
        <v>COM - GTI - KELLEN SANTOS IOHANN</v>
      </c>
      <c r="F279" s="5" t="str">
        <f>_xlfn.XLOOKUP(D279,[1]!Tabela24[Código consultor],[1]!Tabela24[Canal Consultor],0,0,1)</f>
        <v>Pap</v>
      </c>
      <c r="G279" s="10" t="str">
        <f>_xlfn.XLOOKUP(B279,[1]!Tabela1[[Cidades ]],[1]!Tabela1[Regional],0,0,1)</f>
        <v>Magno</v>
      </c>
      <c r="H279" s="13" t="str">
        <f>_xlfn.XLOOKUP(B279,[1]!Tabela1[[Cidades ]],[1]!Tabela1[Gerente],0,0,1)</f>
        <v>Demais coordenadores</v>
      </c>
    </row>
    <row r="280" spans="1:8" x14ac:dyDescent="0.3">
      <c r="A280" s="4" t="s">
        <v>531</v>
      </c>
      <c r="B280" s="5" t="s">
        <v>11</v>
      </c>
      <c r="C280" s="6">
        <v>45833</v>
      </c>
      <c r="D280" s="7">
        <v>861705</v>
      </c>
      <c r="E280" s="5" t="str">
        <f>_xlfn.XLOOKUP(D280,[1]!Tabela24[Código consultor],[1]!Tabela24[Consultor Venda],0,0,1)</f>
        <v>PAR - COM - PAP - TQR - ERIKA DE OLIVEIRA GALLE</v>
      </c>
      <c r="F280" s="5" t="str">
        <f>_xlfn.XLOOKUP(D280,[1]!Tabela24[Código consultor],[1]!Tabela24[Canal Consultor],0,0,1)</f>
        <v>PAR</v>
      </c>
      <c r="G280" s="5" t="str">
        <f>_xlfn.XLOOKUP(B280,[1]!Tabela1[[Cidades ]],[1]!Tabela1[Regional],0,0,1)</f>
        <v>Magno</v>
      </c>
      <c r="H280" s="8" t="str">
        <f>_xlfn.XLOOKUP(B280,[1]!Tabela1[[Cidades ]],[1]!Tabela1[Gerente],0,0,1)</f>
        <v>Demais coordenadores</v>
      </c>
    </row>
    <row r="281" spans="1:8" x14ac:dyDescent="0.3">
      <c r="A281" s="9" t="s">
        <v>532</v>
      </c>
      <c r="B281" s="10" t="s">
        <v>91</v>
      </c>
      <c r="C281" s="11">
        <v>45833</v>
      </c>
      <c r="D281" s="12">
        <v>741456</v>
      </c>
      <c r="E281" s="5" t="str">
        <f>_xlfn.XLOOKUP(D281,[1]!Tabela24[Código consultor],[1]!Tabela24[Consultor Venda],0,0,1)</f>
        <v>PAR - PAP - MVH - DIGITAL SUL SOLUCOES - SARAH N. DA ROCHA</v>
      </c>
      <c r="F281" s="5" t="str">
        <f>_xlfn.XLOOKUP(D281,[1]!Tabela24[Código consultor],[1]!Tabela24[Canal Consultor],0,0,1)</f>
        <v>PAR_DIG</v>
      </c>
      <c r="G281" s="10" t="str">
        <f>_xlfn.XLOOKUP(B281,[1]!Tabela1[[Cidades ]],[1]!Tabela1[Regional],0,0,1)</f>
        <v>Jean</v>
      </c>
      <c r="H281" s="13" t="str">
        <f>_xlfn.XLOOKUP(B281,[1]!Tabela1[[Cidades ]],[1]!Tabela1[Gerente],0,0,1)</f>
        <v>Demais coordenadores</v>
      </c>
    </row>
    <row r="282" spans="1:8" x14ac:dyDescent="0.3">
      <c r="A282" s="4" t="s">
        <v>533</v>
      </c>
      <c r="B282" s="5" t="s">
        <v>46</v>
      </c>
      <c r="C282" s="6">
        <v>45833</v>
      </c>
      <c r="D282" s="7">
        <v>567578</v>
      </c>
      <c r="E282" s="5" t="str">
        <f>_xlfn.XLOOKUP(D282,[1]!Tabela24[Código consultor],[1]!Tabela24[Consultor Venda],0,0,1)</f>
        <v>COM - BGV - TAMARA ALVES SCHNEIDER</v>
      </c>
      <c r="F282" s="5" t="str">
        <f>_xlfn.XLOOKUP(D282,[1]!Tabela24[Código consultor],[1]!Tabela24[Canal Consultor],0,0,1)</f>
        <v>Pap</v>
      </c>
      <c r="G282" s="5" t="str">
        <f>_xlfn.XLOOKUP(B282,[1]!Tabela1[[Cidades ]],[1]!Tabela1[Regional],0,0,1)</f>
        <v>Magno</v>
      </c>
      <c r="H282" s="8" t="str">
        <f>_xlfn.XLOOKUP(B282,[1]!Tabela1[[Cidades ]],[1]!Tabela1[Gerente],0,0,1)</f>
        <v>Demais coordenadores</v>
      </c>
    </row>
    <row r="283" spans="1:8" x14ac:dyDescent="0.3">
      <c r="A283" s="9" t="s">
        <v>543</v>
      </c>
      <c r="B283" s="10" t="s">
        <v>33</v>
      </c>
      <c r="C283" s="11">
        <v>45834</v>
      </c>
      <c r="D283" s="12">
        <v>235841</v>
      </c>
      <c r="E283" s="5" t="str">
        <f>_xlfn.XLOOKUP(D283,[1]!Tabela24[Código consultor],[1]!Tabela24[Consultor Venda],0,0,1)</f>
        <v>DIG - CCO - KAUANA BONI</v>
      </c>
      <c r="F283" s="5" t="str">
        <f>_xlfn.XLOOKUP(D283,[1]!Tabela24[Código consultor],[1]!Tabela24[Canal Consultor],0,0,1)</f>
        <v>DIGITAL</v>
      </c>
      <c r="G283" s="10" t="str">
        <f>_xlfn.XLOOKUP(B283,[1]!Tabela1[[Cidades ]],[1]!Tabela1[Regional],0,0,1)</f>
        <v>Maycon</v>
      </c>
      <c r="H283" s="13" t="str">
        <f>_xlfn.XLOOKUP(B283,[1]!Tabela1[[Cidades ]],[1]!Tabela1[Gerente],0,0,1)</f>
        <v>Demais coordenadores</v>
      </c>
    </row>
    <row r="284" spans="1:8" x14ac:dyDescent="0.3">
      <c r="A284" s="4" t="s">
        <v>555</v>
      </c>
      <c r="B284" s="5" t="s">
        <v>24</v>
      </c>
      <c r="C284" s="6">
        <v>45834</v>
      </c>
      <c r="D284" s="7">
        <v>876183</v>
      </c>
      <c r="E284" s="5" t="str">
        <f>_xlfn.XLOOKUP(D284,[1]!Tabela24[Código consultor],[1]!Tabela24[Consultor Venda],0,0,1)</f>
        <v>COM - SMA - ANDRE DA SILVA DOS SANTOS</v>
      </c>
      <c r="F284" s="5" t="str">
        <f>_xlfn.XLOOKUP(D284,[1]!Tabela24[Código consultor],[1]!Tabela24[Canal Consultor],0,0,1)</f>
        <v>Pap</v>
      </c>
      <c r="G284" s="5" t="str">
        <f>_xlfn.XLOOKUP(B284,[1]!Tabela1[[Cidades ]],[1]!Tabela1[Regional],0,0,1)</f>
        <v>Magno</v>
      </c>
      <c r="H284" s="8" t="str">
        <f>_xlfn.XLOOKUP(B284,[1]!Tabela1[[Cidades ]],[1]!Tabela1[Gerente],0,0,1)</f>
        <v>Demais coordenadores</v>
      </c>
    </row>
    <row r="285" spans="1:8" x14ac:dyDescent="0.3">
      <c r="A285" s="9" t="s">
        <v>534</v>
      </c>
      <c r="B285" s="10" t="s">
        <v>23</v>
      </c>
      <c r="C285" s="11">
        <v>45834</v>
      </c>
      <c r="D285" s="12">
        <v>262147</v>
      </c>
      <c r="E285" s="5" t="str">
        <f>_xlfn.XLOOKUP(D285,[1]!Tabela24[Código consultor],[1]!Tabela24[Consultor Venda],0,0,1)</f>
        <v>COM - GTI - ALESANDRA PETRY BRAZEIRO</v>
      </c>
      <c r="F285" s="5" t="str">
        <f>_xlfn.XLOOKUP(D285,[1]!Tabela24[Código consultor],[1]!Tabela24[Canal Consultor],0,0,1)</f>
        <v>Pap</v>
      </c>
      <c r="G285" s="10" t="str">
        <f>_xlfn.XLOOKUP(B285,[1]!Tabela1[[Cidades ]],[1]!Tabela1[Regional],0,0,1)</f>
        <v>Magno</v>
      </c>
      <c r="H285" s="13" t="str">
        <f>_xlfn.XLOOKUP(B285,[1]!Tabela1[[Cidades ]],[1]!Tabela1[Gerente],0,0,1)</f>
        <v>Demais coordenadores</v>
      </c>
    </row>
    <row r="286" spans="1:8" x14ac:dyDescent="0.3">
      <c r="A286" s="4" t="s">
        <v>563</v>
      </c>
      <c r="B286" s="5" t="s">
        <v>45</v>
      </c>
      <c r="C286" s="6">
        <v>45834</v>
      </c>
      <c r="D286" s="7">
        <v>881485</v>
      </c>
      <c r="E286" s="5" t="str">
        <f>_xlfn.XLOOKUP(D286,[1]!Tabela24[Código consultor],[1]!Tabela24[Consultor Venda],0,0,1)</f>
        <v>COM - SOC - ERICSSON CUNHA DE PAULA ANHAIA</v>
      </c>
      <c r="F286" s="5" t="str">
        <f>_xlfn.XLOOKUP(D286,[1]!Tabela24[Código consultor],[1]!Tabela24[Canal Consultor],0,0,1)</f>
        <v>Pap</v>
      </c>
      <c r="G286" s="5" t="str">
        <f>_xlfn.XLOOKUP(B286,[1]!Tabela1[[Cidades ]],[1]!Tabela1[Regional],0,0,1)</f>
        <v>Jean</v>
      </c>
      <c r="H286" s="8" t="str">
        <f>_xlfn.XLOOKUP(B286,[1]!Tabela1[[Cidades ]],[1]!Tabela1[Gerente],0,0,1)</f>
        <v>Demais coordenadores</v>
      </c>
    </row>
    <row r="287" spans="1:8" x14ac:dyDescent="0.3">
      <c r="A287" s="9" t="s">
        <v>234</v>
      </c>
      <c r="B287" s="10" t="s">
        <v>19</v>
      </c>
      <c r="C287" s="11">
        <v>45834</v>
      </c>
      <c r="D287" s="12">
        <v>787456</v>
      </c>
      <c r="E287" s="5" t="str">
        <f>_xlfn.XLOOKUP(D287,[1]!Tabela24[Código consultor],[1]!Tabela24[Consultor Venda],0,0,1)</f>
        <v>COM - CHN - Eduarda Schmoller da Silva</v>
      </c>
      <c r="F287" s="5" t="str">
        <f>_xlfn.XLOOKUP(D287,[1]!Tabela24[Código consultor],[1]!Tabela24[Canal Consultor],0,0,1)</f>
        <v>INTERNO</v>
      </c>
      <c r="G287" s="10" t="str">
        <f>_xlfn.XLOOKUP(B287,[1]!Tabela1[[Cidades ]],[1]!Tabela1[Regional],0,0,1)</f>
        <v>Magno</v>
      </c>
      <c r="H287" s="13" t="str">
        <f>_xlfn.XLOOKUP(B287,[1]!Tabela1[[Cidades ]],[1]!Tabela1[Gerente],0,0,1)</f>
        <v>Demais coordenadores</v>
      </c>
    </row>
    <row r="288" spans="1:8" x14ac:dyDescent="0.3">
      <c r="A288" s="4" t="s">
        <v>234</v>
      </c>
      <c r="B288" s="5" t="s">
        <v>19</v>
      </c>
      <c r="C288" s="6">
        <v>45834</v>
      </c>
      <c r="D288" s="7">
        <v>781646</v>
      </c>
      <c r="E288" s="5" t="str">
        <f>_xlfn.XLOOKUP(D288,[1]!Tabela24[Código consultor],[1]!Tabela24[Consultor Venda],0,0,1)</f>
        <v>COM - CHN - EDUARDA BECKER RANGEL</v>
      </c>
      <c r="F288" s="5" t="str">
        <f>_xlfn.XLOOKUP(D288,[1]!Tabela24[Código consultor],[1]!Tabela24[Canal Consultor],0,0,1)</f>
        <v>Pap</v>
      </c>
      <c r="G288" s="5" t="str">
        <f>_xlfn.XLOOKUP(B288,[1]!Tabela1[[Cidades ]],[1]!Tabela1[Regional],0,0,1)</f>
        <v>Magno</v>
      </c>
      <c r="H288" s="8" t="str">
        <f>_xlfn.XLOOKUP(B288,[1]!Tabela1[[Cidades ]],[1]!Tabela1[Gerente],0,0,1)</f>
        <v>Demais coordenadores</v>
      </c>
    </row>
    <row r="289" spans="1:8" x14ac:dyDescent="0.3">
      <c r="A289" s="9" t="s">
        <v>572</v>
      </c>
      <c r="B289" s="10" t="s">
        <v>11</v>
      </c>
      <c r="C289" s="11">
        <v>45834</v>
      </c>
      <c r="D289" s="12">
        <v>788656</v>
      </c>
      <c r="E289" s="5" t="str">
        <f>_xlfn.XLOOKUP(D289,[1]!Tabela24[Código consultor],[1]!Tabela24[Consultor Venda],0,0,1)</f>
        <v>PAR - STB - PAP - JOY TELECOM - GABRIELA ALVES DE GODOY</v>
      </c>
      <c r="F289" s="5" t="str">
        <f>_xlfn.XLOOKUP(D289,[1]!Tabela24[Código consultor],[1]!Tabela24[Canal Consultor],0,0,1)</f>
        <v>PAR_DIG</v>
      </c>
      <c r="G289" s="10" t="str">
        <f>_xlfn.XLOOKUP(B289,[1]!Tabela1[[Cidades ]],[1]!Tabela1[Regional],0,0,1)</f>
        <v>Magno</v>
      </c>
      <c r="H289" s="13" t="str">
        <f>_xlfn.XLOOKUP(B289,[1]!Tabela1[[Cidades ]],[1]!Tabela1[Gerente],0,0,1)</f>
        <v>Demais coordenadores</v>
      </c>
    </row>
    <row r="290" spans="1:8" x14ac:dyDescent="0.3">
      <c r="A290" s="4" t="s">
        <v>585</v>
      </c>
      <c r="B290" s="5" t="s">
        <v>29</v>
      </c>
      <c r="C290" s="6">
        <v>45834</v>
      </c>
      <c r="D290" s="7">
        <v>738880</v>
      </c>
      <c r="E290" s="5" t="str">
        <f>_xlfn.XLOOKUP(D290,[1]!Tabela24[Código consultor],[1]!Tabela24[Consultor Venda],0,0,1)</f>
        <v>PAR - PAP - MUNDIALE - ANA LUIZA COUTO MATIAS</v>
      </c>
      <c r="F290" s="5" t="str">
        <f>_xlfn.XLOOKUP(D290,[1]!Tabela24[Código consultor],[1]!Tabela24[Canal Consultor],0,0,1)</f>
        <v>PAR_DIG</v>
      </c>
      <c r="G290" s="5" t="str">
        <f>_xlfn.XLOOKUP(B290,[1]!Tabela1[[Cidades ]],[1]!Tabela1[Regional],0,0,1)</f>
        <v>Adilson</v>
      </c>
      <c r="H290" s="8" t="str">
        <f>_xlfn.XLOOKUP(B290,[1]!Tabela1[[Cidades ]],[1]!Tabela1[Gerente],0,0,1)</f>
        <v>Demais coordenadores</v>
      </c>
    </row>
    <row r="291" spans="1:8" x14ac:dyDescent="0.3">
      <c r="A291" s="9" t="s">
        <v>596</v>
      </c>
      <c r="B291" s="10" t="s">
        <v>22</v>
      </c>
      <c r="C291" s="11">
        <v>45834</v>
      </c>
      <c r="D291" s="12">
        <v>827465</v>
      </c>
      <c r="E291" s="5" t="str">
        <f>_xlfn.XLOOKUP(D291,[1]!Tabela24[Código consultor],[1]!Tabela24[Consultor Venda],0,0,1)</f>
        <v>DIG - ATV - TAINARA RODRIGUES CORDEIRO</v>
      </c>
      <c r="F291" s="5" t="str">
        <f>_xlfn.XLOOKUP(D291,[1]!Tabela24[Código consultor],[1]!Tabela24[Canal Consultor],0,0,1)</f>
        <v>Televendas Ativo</v>
      </c>
      <c r="G291" s="10" t="str">
        <f>_xlfn.XLOOKUP(B291,[1]!Tabela1[[Cidades ]],[1]!Tabela1[Regional],0,0,1)</f>
        <v>Magno</v>
      </c>
      <c r="H291" s="13" t="str">
        <f>_xlfn.XLOOKUP(B291,[1]!Tabela1[[Cidades ]],[1]!Tabela1[Gerente],0,0,1)</f>
        <v>Demais coordenadores</v>
      </c>
    </row>
    <row r="292" spans="1:8" x14ac:dyDescent="0.3">
      <c r="A292" s="4" t="s">
        <v>535</v>
      </c>
      <c r="B292" s="5" t="s">
        <v>10</v>
      </c>
      <c r="C292" s="6">
        <v>45834</v>
      </c>
      <c r="D292" s="7">
        <v>600710</v>
      </c>
      <c r="E292" s="5" t="str">
        <f>_xlfn.XLOOKUP(D292,[1]!Tabela24[Código consultor],[1]!Tabela24[Consultor Venda],0,0,1)</f>
        <v>DIG - CCO - BRUNA BALBINOTTI</v>
      </c>
      <c r="F292" s="5" t="str">
        <f>_xlfn.XLOOKUP(D292,[1]!Tabela24[Código consultor],[1]!Tabela24[Canal Consultor],0,0,1)</f>
        <v>DIGITAL</v>
      </c>
      <c r="G292" s="5" t="str">
        <f>_xlfn.XLOOKUP(B292,[1]!Tabela1[[Cidades ]],[1]!Tabela1[Regional],0,0,1)</f>
        <v>Jean</v>
      </c>
      <c r="H292" s="8" t="str">
        <f>_xlfn.XLOOKUP(B292,[1]!Tabela1[[Cidades ]],[1]!Tabela1[Gerente],0,0,1)</f>
        <v>Demais coordenadores</v>
      </c>
    </row>
    <row r="293" spans="1:8" x14ac:dyDescent="0.3">
      <c r="A293" s="9" t="s">
        <v>605</v>
      </c>
      <c r="B293" s="10" t="s">
        <v>42</v>
      </c>
      <c r="C293" s="11">
        <v>45834</v>
      </c>
      <c r="D293" s="12">
        <v>788656</v>
      </c>
      <c r="E293" s="5" t="str">
        <f>_xlfn.XLOOKUP(D293,[1]!Tabela24[Código consultor],[1]!Tabela24[Consultor Venda],0,0,1)</f>
        <v>PAR - STB - PAP - JOY TELECOM - GABRIELA ALVES DE GODOY</v>
      </c>
      <c r="F293" s="5" t="str">
        <f>_xlfn.XLOOKUP(D293,[1]!Tabela24[Código consultor],[1]!Tabela24[Canal Consultor],0,0,1)</f>
        <v>PAR_DIG</v>
      </c>
      <c r="G293" s="10" t="str">
        <f>_xlfn.XLOOKUP(B293,[1]!Tabela1[[Cidades ]],[1]!Tabela1[Regional],0,0,1)</f>
        <v>Maycon</v>
      </c>
      <c r="H293" s="13" t="str">
        <f>_xlfn.XLOOKUP(B293,[1]!Tabela1[[Cidades ]],[1]!Tabela1[Gerente],0,0,1)</f>
        <v>Demais coordenadores</v>
      </c>
    </row>
    <row r="294" spans="1:8" x14ac:dyDescent="0.3">
      <c r="A294" s="4" t="s">
        <v>613</v>
      </c>
      <c r="B294" s="5" t="s">
        <v>24</v>
      </c>
      <c r="C294" s="6">
        <v>45834</v>
      </c>
      <c r="D294" s="7">
        <v>608355</v>
      </c>
      <c r="E294" s="5" t="str">
        <f>_xlfn.XLOOKUP(D294,[1]!Tabela24[Código consultor],[1]!Tabela24[Consultor Venda],0,0,1)</f>
        <v>COM - SMA - JANAINA SEBBEN DOS SANTOS</v>
      </c>
      <c r="F294" s="5" t="str">
        <f>_xlfn.XLOOKUP(D294,[1]!Tabela24[Código consultor],[1]!Tabela24[Canal Consultor],0,0,1)</f>
        <v>INTERNO</v>
      </c>
      <c r="G294" s="5" t="str">
        <f>_xlfn.XLOOKUP(B294,[1]!Tabela1[[Cidades ]],[1]!Tabela1[Regional],0,0,1)</f>
        <v>Magno</v>
      </c>
      <c r="H294" s="8" t="str">
        <f>_xlfn.XLOOKUP(B294,[1]!Tabela1[[Cidades ]],[1]!Tabela1[Gerente],0,0,1)</f>
        <v>Demais coordenadores</v>
      </c>
    </row>
    <row r="295" spans="1:8" x14ac:dyDescent="0.3">
      <c r="A295" s="9" t="s">
        <v>240</v>
      </c>
      <c r="B295" s="10" t="s">
        <v>88</v>
      </c>
      <c r="C295" s="11">
        <v>45834</v>
      </c>
      <c r="D295" s="12">
        <v>862715</v>
      </c>
      <c r="E295" s="5" t="str">
        <f>_xlfn.XLOOKUP(D295,[1]!Tabela24[Código consultor],[1]!Tabela24[Consultor Venda],0,0,1)</f>
        <v>COM - CUA - NICOLE FLORIANI ALVES</v>
      </c>
      <c r="F295" s="5" t="str">
        <f>_xlfn.XLOOKUP(D295,[1]!Tabela24[Código consultor],[1]!Tabela24[Canal Consultor],0,0,1)</f>
        <v>Pap</v>
      </c>
      <c r="G295" s="10" t="str">
        <f>_xlfn.XLOOKUP(B295,[1]!Tabela1[[Cidades ]],[1]!Tabela1[Regional],0,0,1)</f>
        <v>Marcio</v>
      </c>
      <c r="H295" s="13" t="str">
        <f>_xlfn.XLOOKUP(B295,[1]!Tabela1[[Cidades ]],[1]!Tabela1[Gerente],0,0,1)</f>
        <v>Demais coordenadores</v>
      </c>
    </row>
    <row r="296" spans="1:8" x14ac:dyDescent="0.3">
      <c r="A296" s="4" t="s">
        <v>652</v>
      </c>
      <c r="B296" s="5" t="s">
        <v>24</v>
      </c>
      <c r="C296" s="6">
        <v>45834</v>
      </c>
      <c r="D296" s="7">
        <v>870012</v>
      </c>
      <c r="E296" s="5" t="str">
        <f>_xlfn.XLOOKUP(D296,[1]!Tabela24[Código consultor],[1]!Tabela24[Consultor Venda],0,0,1)</f>
        <v>COM - SMA - LUIZ EDUARDO DOS SANTOS LOPES COLLARES</v>
      </c>
      <c r="F296" s="5" t="str">
        <f>_xlfn.XLOOKUP(D296,[1]!Tabela24[Código consultor],[1]!Tabela24[Canal Consultor],0,0,1)</f>
        <v>Pap</v>
      </c>
      <c r="G296" s="5" t="str">
        <f>_xlfn.XLOOKUP(B296,[1]!Tabela1[[Cidades ]],[1]!Tabela1[Regional],0,0,1)</f>
        <v>Magno</v>
      </c>
      <c r="H296" s="8" t="str">
        <f>_xlfn.XLOOKUP(B296,[1]!Tabela1[[Cidades ]],[1]!Tabela1[Gerente],0,0,1)</f>
        <v>Demais coordenadores</v>
      </c>
    </row>
    <row r="297" spans="1:8" x14ac:dyDescent="0.3">
      <c r="A297" s="9" t="s">
        <v>540</v>
      </c>
      <c r="B297" s="10" t="s">
        <v>69</v>
      </c>
      <c r="C297" s="11">
        <v>45834</v>
      </c>
      <c r="D297" s="12">
        <v>255780</v>
      </c>
      <c r="E297" s="5" t="str">
        <f>_xlfn.XLOOKUP(D297,[1]!Tabela24[Código consultor],[1]!Tabela24[Consultor Venda],0,0,1)</f>
        <v>COM - PZO - MAIKELI CRISTINA MANFRIN</v>
      </c>
      <c r="F297" s="5" t="str">
        <f>_xlfn.XLOOKUP(D297,[1]!Tabela24[Código consultor],[1]!Tabela24[Canal Consultor],0,0,1)</f>
        <v>INTERNO</v>
      </c>
      <c r="G297" s="10" t="str">
        <f>_xlfn.XLOOKUP(B297,[1]!Tabela1[[Cidades ]],[1]!Tabela1[Regional],0,0,1)</f>
        <v>Maycon</v>
      </c>
      <c r="H297" s="13" t="str">
        <f>_xlfn.XLOOKUP(B297,[1]!Tabela1[[Cidades ]],[1]!Tabela1[Gerente],0,0,1)</f>
        <v>Demais coordenadores</v>
      </c>
    </row>
    <row r="298" spans="1:8" x14ac:dyDescent="0.3">
      <c r="A298" s="4" t="s">
        <v>541</v>
      </c>
      <c r="B298" s="5" t="s">
        <v>113</v>
      </c>
      <c r="C298" s="6">
        <v>45834</v>
      </c>
      <c r="D298" s="7">
        <v>600710</v>
      </c>
      <c r="E298" s="5" t="str">
        <f>_xlfn.XLOOKUP(D298,[1]!Tabela24[Código consultor],[1]!Tabela24[Consultor Venda],0,0,1)</f>
        <v>DIG - CCO - BRUNA BALBINOTTI</v>
      </c>
      <c r="F298" s="5" t="str">
        <f>_xlfn.XLOOKUP(D298,[1]!Tabela24[Código consultor],[1]!Tabela24[Canal Consultor],0,0,1)</f>
        <v>DIGITAL</v>
      </c>
      <c r="G298" s="5" t="str">
        <f>_xlfn.XLOOKUP(B298,[1]!Tabela1[[Cidades ]],[1]!Tabela1[Regional],0,0,1)</f>
        <v>Maycon</v>
      </c>
      <c r="H298" s="8" t="str">
        <f>_xlfn.XLOOKUP(B298,[1]!Tabela1[[Cidades ]],[1]!Tabela1[Gerente],0,0,1)</f>
        <v>Demais coordenadores</v>
      </c>
    </row>
    <row r="299" spans="1:8" x14ac:dyDescent="0.3">
      <c r="A299" s="9" t="s">
        <v>547</v>
      </c>
      <c r="B299" s="10" t="s">
        <v>23</v>
      </c>
      <c r="C299" s="11">
        <v>45834</v>
      </c>
      <c r="D299" s="12">
        <v>872155</v>
      </c>
      <c r="E299" s="5" t="str">
        <f>_xlfn.XLOOKUP(D299,[1]!Tabela24[Código consultor],[1]!Tabela24[Consultor Venda],0,0,1)</f>
        <v>COM - CAN - JULIANDRA DORNELES</v>
      </c>
      <c r="F299" s="5" t="str">
        <f>_xlfn.XLOOKUP(D299,[1]!Tabela24[Código consultor],[1]!Tabela24[Canal Consultor],0,0,1)</f>
        <v>Pap</v>
      </c>
      <c r="G299" s="10" t="str">
        <f>_xlfn.XLOOKUP(B299,[1]!Tabela1[[Cidades ]],[1]!Tabela1[Regional],0,0,1)</f>
        <v>Magno</v>
      </c>
      <c r="H299" s="13" t="str">
        <f>_xlfn.XLOOKUP(B299,[1]!Tabela1[[Cidades ]],[1]!Tabela1[Gerente],0,0,1)</f>
        <v>Demais coordenadores</v>
      </c>
    </row>
    <row r="300" spans="1:8" x14ac:dyDescent="0.3">
      <c r="A300" s="4" t="s">
        <v>204</v>
      </c>
      <c r="B300" s="5" t="s">
        <v>10</v>
      </c>
      <c r="C300" s="6">
        <v>45834</v>
      </c>
      <c r="D300" s="7">
        <v>233138</v>
      </c>
      <c r="E300" s="5" t="str">
        <f>_xlfn.XLOOKUP(D300,[1]!Tabela24[Código consultor],[1]!Tabela24[Consultor Venda],0,0,1)</f>
        <v>PAR - INTE - GRP - MOBILE HD - ALINE KARNOSKI</v>
      </c>
      <c r="F300" s="5" t="str">
        <f>_xlfn.XLOOKUP(D300,[1]!Tabela24[Código consultor],[1]!Tabela24[Canal Consultor],0,0,1)</f>
        <v>PAR</v>
      </c>
      <c r="G300" s="5" t="str">
        <f>_xlfn.XLOOKUP(B300,[1]!Tabela1[[Cidades ]],[1]!Tabela1[Regional],0,0,1)</f>
        <v>Jean</v>
      </c>
      <c r="H300" s="8" t="str">
        <f>_xlfn.XLOOKUP(B300,[1]!Tabela1[[Cidades ]],[1]!Tabela1[Gerente],0,0,1)</f>
        <v>Demais coordenadores</v>
      </c>
    </row>
    <row r="301" spans="1:8" x14ac:dyDescent="0.3">
      <c r="A301" s="9" t="s">
        <v>554</v>
      </c>
      <c r="B301" s="10" t="s">
        <v>23</v>
      </c>
      <c r="C301" s="11">
        <v>45834</v>
      </c>
      <c r="D301" s="12">
        <v>652640</v>
      </c>
      <c r="E301" s="5" t="str">
        <f>_xlfn.XLOOKUP(D301,[1]!Tabela24[Código consultor],[1]!Tabela24[Consultor Venda],0,0,1)</f>
        <v>COM - CAN - ANDRIELE DA SILVA RANGEL</v>
      </c>
      <c r="F301" s="5" t="str">
        <f>_xlfn.XLOOKUP(D301,[1]!Tabela24[Código consultor],[1]!Tabela24[Canal Consultor],0,0,1)</f>
        <v>Pap</v>
      </c>
      <c r="G301" s="10" t="str">
        <f>_xlfn.XLOOKUP(B301,[1]!Tabela1[[Cidades ]],[1]!Tabela1[Regional],0,0,1)</f>
        <v>Magno</v>
      </c>
      <c r="H301" s="13" t="str">
        <f>_xlfn.XLOOKUP(B301,[1]!Tabela1[[Cidades ]],[1]!Tabela1[Gerente],0,0,1)</f>
        <v>Demais coordenadores</v>
      </c>
    </row>
    <row r="302" spans="1:8" x14ac:dyDescent="0.3">
      <c r="A302" s="4" t="s">
        <v>556</v>
      </c>
      <c r="B302" s="5" t="s">
        <v>23</v>
      </c>
      <c r="C302" s="6">
        <v>45834</v>
      </c>
      <c r="D302" s="7">
        <v>861705</v>
      </c>
      <c r="E302" s="5" t="str">
        <f>_xlfn.XLOOKUP(D302,[1]!Tabela24[Código consultor],[1]!Tabela24[Consultor Venda],0,0,1)</f>
        <v>PAR - COM - PAP - TQR - ERIKA DE OLIVEIRA GALLE</v>
      </c>
      <c r="F302" s="5" t="str">
        <f>_xlfn.XLOOKUP(D302,[1]!Tabela24[Código consultor],[1]!Tabela24[Canal Consultor],0,0,1)</f>
        <v>PAR</v>
      </c>
      <c r="G302" s="5" t="str">
        <f>_xlfn.XLOOKUP(B302,[1]!Tabela1[[Cidades ]],[1]!Tabela1[Regional],0,0,1)</f>
        <v>Magno</v>
      </c>
      <c r="H302" s="8" t="str">
        <f>_xlfn.XLOOKUP(B302,[1]!Tabela1[[Cidades ]],[1]!Tabela1[Gerente],0,0,1)</f>
        <v>Demais coordenadores</v>
      </c>
    </row>
    <row r="303" spans="1:8" x14ac:dyDescent="0.3">
      <c r="A303" s="9" t="s">
        <v>179</v>
      </c>
      <c r="B303" s="10" t="s">
        <v>46</v>
      </c>
      <c r="C303" s="11">
        <v>45834</v>
      </c>
      <c r="D303" s="12">
        <v>864113</v>
      </c>
      <c r="E303" s="5" t="str">
        <f>_xlfn.XLOOKUP(D303,[1]!Tabela24[Código consultor],[1]!Tabela24[Consultor Venda],0,0,1)</f>
        <v>COM - BGV - ELISA LUDIMILA MORAES DE LIMA</v>
      </c>
      <c r="F303" s="5" t="str">
        <f>_xlfn.XLOOKUP(D303,[1]!Tabela24[Código consultor],[1]!Tabela24[Canal Consultor],0,0,1)</f>
        <v>INTERNO</v>
      </c>
      <c r="G303" s="10" t="str">
        <f>_xlfn.XLOOKUP(B303,[1]!Tabela1[[Cidades ]],[1]!Tabela1[Regional],0,0,1)</f>
        <v>Magno</v>
      </c>
      <c r="H303" s="13" t="str">
        <f>_xlfn.XLOOKUP(B303,[1]!Tabela1[[Cidades ]],[1]!Tabela1[Gerente],0,0,1)</f>
        <v>Demais coordenadores</v>
      </c>
    </row>
    <row r="304" spans="1:8" x14ac:dyDescent="0.3">
      <c r="A304" s="4" t="s">
        <v>565</v>
      </c>
      <c r="B304" s="5" t="s">
        <v>16</v>
      </c>
      <c r="C304" s="6">
        <v>45834</v>
      </c>
      <c r="D304" s="7">
        <v>841275</v>
      </c>
      <c r="E304" s="5" t="str">
        <f>_xlfn.XLOOKUP(D304,[1]!Tabela24[Código consultor],[1]!Tabela24[Consultor Venda],0,0,1)</f>
        <v>COM - CSL - ANA ALICE DOS SANTOS MACIEL</v>
      </c>
      <c r="F304" s="5" t="str">
        <f>_xlfn.XLOOKUP(D304,[1]!Tabela24[Código consultor],[1]!Tabela24[Canal Consultor],0,0,1)</f>
        <v>Pap</v>
      </c>
      <c r="G304" s="5" t="str">
        <f>_xlfn.XLOOKUP(B304,[1]!Tabela1[[Cidades ]],[1]!Tabela1[Regional],0,0,1)</f>
        <v>Magno</v>
      </c>
      <c r="H304" s="8" t="str">
        <f>_xlfn.XLOOKUP(B304,[1]!Tabela1[[Cidades ]],[1]!Tabela1[Gerente],0,0,1)</f>
        <v>Demais coordenadores</v>
      </c>
    </row>
    <row r="305" spans="1:8" x14ac:dyDescent="0.3">
      <c r="A305" s="9" t="s">
        <v>219</v>
      </c>
      <c r="B305" s="10" t="s">
        <v>26</v>
      </c>
      <c r="C305" s="11">
        <v>45834</v>
      </c>
      <c r="D305" s="12">
        <v>165769</v>
      </c>
      <c r="E305" s="5" t="str">
        <f>_xlfn.XLOOKUP(D305,[1]!Tabela24[Código consultor],[1]!Tabela24[Consultor Venda],0,0,1)</f>
        <v>PAR - PAP - GTI - THALIA SP - THALIA DA SILVA PEREIRA</v>
      </c>
      <c r="F305" s="5" t="str">
        <f>_xlfn.XLOOKUP(D305,[1]!Tabela24[Código consultor],[1]!Tabela24[Canal Consultor],0,0,1)</f>
        <v>PAR</v>
      </c>
      <c r="G305" s="10" t="str">
        <f>_xlfn.XLOOKUP(B305,[1]!Tabela1[[Cidades ]],[1]!Tabela1[Regional],0,0,1)</f>
        <v>Magno</v>
      </c>
      <c r="H305" s="13" t="str">
        <f>_xlfn.XLOOKUP(B305,[1]!Tabela1[[Cidades ]],[1]!Tabela1[Gerente],0,0,1)</f>
        <v>Demais coordenadores</v>
      </c>
    </row>
    <row r="306" spans="1:8" x14ac:dyDescent="0.3">
      <c r="A306" s="4" t="s">
        <v>575</v>
      </c>
      <c r="B306" s="5" t="s">
        <v>33</v>
      </c>
      <c r="C306" s="6">
        <v>45834</v>
      </c>
      <c r="D306" s="7">
        <v>818103</v>
      </c>
      <c r="E306" s="5" t="str">
        <f>_xlfn.XLOOKUP(D306,[1]!Tabela24[Código consultor],[1]!Tabela24[Consultor Venda],0,0,1)</f>
        <v>DIG - ATV - WESLEY NATAN GARCIA PALHANO</v>
      </c>
      <c r="F306" s="5" t="str">
        <f>_xlfn.XLOOKUP(D306,[1]!Tabela24[Código consultor],[1]!Tabela24[Canal Consultor],0,0,1)</f>
        <v>Televendas Ativo</v>
      </c>
      <c r="G306" s="5" t="str">
        <f>_xlfn.XLOOKUP(B306,[1]!Tabela1[[Cidades ]],[1]!Tabela1[Regional],0,0,1)</f>
        <v>Maycon</v>
      </c>
      <c r="H306" s="8" t="str">
        <f>_xlfn.XLOOKUP(B306,[1]!Tabela1[[Cidades ]],[1]!Tabela1[Gerente],0,0,1)</f>
        <v>Demais coordenadores</v>
      </c>
    </row>
    <row r="307" spans="1:8" x14ac:dyDescent="0.3">
      <c r="A307" s="9" t="s">
        <v>578</v>
      </c>
      <c r="B307" s="10" t="s">
        <v>22</v>
      </c>
      <c r="C307" s="11">
        <v>45834</v>
      </c>
      <c r="D307" s="12">
        <v>788656</v>
      </c>
      <c r="E307" s="5" t="str">
        <f>_xlfn.XLOOKUP(D307,[1]!Tabela24[Código consultor],[1]!Tabela24[Consultor Venda],0,0,1)</f>
        <v>PAR - STB - PAP - JOY TELECOM - GABRIELA ALVES DE GODOY</v>
      </c>
      <c r="F307" s="5" t="str">
        <f>_xlfn.XLOOKUP(D307,[1]!Tabela24[Código consultor],[1]!Tabela24[Canal Consultor],0,0,1)</f>
        <v>PAR_DIG</v>
      </c>
      <c r="G307" s="10" t="str">
        <f>_xlfn.XLOOKUP(B307,[1]!Tabela1[[Cidades ]],[1]!Tabela1[Regional],0,0,1)</f>
        <v>Magno</v>
      </c>
      <c r="H307" s="13" t="str">
        <f>_xlfn.XLOOKUP(B307,[1]!Tabela1[[Cidades ]],[1]!Tabela1[Gerente],0,0,1)</f>
        <v>Demais coordenadores</v>
      </c>
    </row>
    <row r="308" spans="1:8" x14ac:dyDescent="0.3">
      <c r="A308" s="4" t="s">
        <v>579</v>
      </c>
      <c r="B308" s="5" t="s">
        <v>12</v>
      </c>
      <c r="C308" s="6">
        <v>45834</v>
      </c>
      <c r="D308" s="7">
        <v>788656</v>
      </c>
      <c r="E308" s="5" t="str">
        <f>_xlfn.XLOOKUP(D308,[1]!Tabela24[Código consultor],[1]!Tabela24[Consultor Venda],0,0,1)</f>
        <v>PAR - STB - PAP - JOY TELECOM - GABRIELA ALVES DE GODOY</v>
      </c>
      <c r="F308" s="5" t="str">
        <f>_xlfn.XLOOKUP(D308,[1]!Tabela24[Código consultor],[1]!Tabela24[Canal Consultor],0,0,1)</f>
        <v>PAR_DIG</v>
      </c>
      <c r="G308" s="5" t="str">
        <f>_xlfn.XLOOKUP(B308,[1]!Tabela1[[Cidades ]],[1]!Tabela1[Regional],0,0,1)</f>
        <v>Jean</v>
      </c>
      <c r="H308" s="8" t="str">
        <f>_xlfn.XLOOKUP(B308,[1]!Tabela1[[Cidades ]],[1]!Tabela1[Gerente],0,0,1)</f>
        <v>Demais coordenadores</v>
      </c>
    </row>
    <row r="309" spans="1:8" x14ac:dyDescent="0.3">
      <c r="A309" s="9" t="s">
        <v>580</v>
      </c>
      <c r="B309" s="10" t="s">
        <v>12</v>
      </c>
      <c r="C309" s="11">
        <v>45834</v>
      </c>
      <c r="D309" s="12">
        <v>683349</v>
      </c>
      <c r="E309" s="5" t="str">
        <f>_xlfn.XLOOKUP(D309,[1]!Tabela24[Código consultor],[1]!Tabela24[Consultor Venda],0,0,1)</f>
        <v>DIG - CCO - EVELLIN SALOA MAIA DA CONCEICAO</v>
      </c>
      <c r="F309" s="5" t="str">
        <f>_xlfn.XLOOKUP(D309,[1]!Tabela24[Código consultor],[1]!Tabela24[Canal Consultor],0,0,1)</f>
        <v>DIGITAL</v>
      </c>
      <c r="G309" s="10" t="str">
        <f>_xlfn.XLOOKUP(B309,[1]!Tabela1[[Cidades ]],[1]!Tabela1[Regional],0,0,1)</f>
        <v>Jean</v>
      </c>
      <c r="H309" s="13" t="str">
        <f>_xlfn.XLOOKUP(B309,[1]!Tabela1[[Cidades ]],[1]!Tabela1[Gerente],0,0,1)</f>
        <v>Demais coordenadores</v>
      </c>
    </row>
    <row r="310" spans="1:8" x14ac:dyDescent="0.3">
      <c r="A310" s="4" t="s">
        <v>581</v>
      </c>
      <c r="B310" s="5" t="s">
        <v>47</v>
      </c>
      <c r="C310" s="6">
        <v>45834</v>
      </c>
      <c r="D310" s="7">
        <v>773535</v>
      </c>
      <c r="E310" s="5" t="str">
        <f>_xlfn.XLOOKUP(D310,[1]!Tabela24[Código consultor],[1]!Tabela24[Consultor Venda],0,0,1)</f>
        <v>COM - VAI - SILVANIA DA SILVA</v>
      </c>
      <c r="F310" s="5" t="str">
        <f>_xlfn.XLOOKUP(D310,[1]!Tabela24[Código consultor],[1]!Tabela24[Canal Consultor],0,0,1)</f>
        <v>INTERNO</v>
      </c>
      <c r="G310" s="5" t="str">
        <f>_xlfn.XLOOKUP(B310,[1]!Tabela1[[Cidades ]],[1]!Tabela1[Regional],0,0,1)</f>
        <v>Magno</v>
      </c>
      <c r="H310" s="8" t="str">
        <f>_xlfn.XLOOKUP(B310,[1]!Tabela1[[Cidades ]],[1]!Tabela1[Gerente],0,0,1)</f>
        <v>Demais coordenadores</v>
      </c>
    </row>
    <row r="311" spans="1:8" x14ac:dyDescent="0.3">
      <c r="A311" s="9" t="s">
        <v>584</v>
      </c>
      <c r="B311" s="10" t="s">
        <v>72</v>
      </c>
      <c r="C311" s="11">
        <v>45834</v>
      </c>
      <c r="D311" s="12">
        <v>197832</v>
      </c>
      <c r="E311" s="5" t="str">
        <f>_xlfn.XLOOKUP(D311,[1]!Tabela24[Código consultor],[1]!Tabela24[Consultor Venda],0,0,1)</f>
        <v>DIG - CCO - RAIANE BERGAMIN</v>
      </c>
      <c r="F311" s="5" t="str">
        <f>_xlfn.XLOOKUP(D311,[1]!Tabela24[Código consultor],[1]!Tabela24[Canal Consultor],0,0,1)</f>
        <v>DIGITAL</v>
      </c>
      <c r="G311" s="10" t="str">
        <f>_xlfn.XLOOKUP(B311,[1]!Tabela1[[Cidades ]],[1]!Tabela1[Regional],0,0,1)</f>
        <v>Maycon</v>
      </c>
      <c r="H311" s="13" t="str">
        <f>_xlfn.XLOOKUP(B311,[1]!Tabela1[[Cidades ]],[1]!Tabela1[Gerente],0,0,1)</f>
        <v>Demais coordenadores</v>
      </c>
    </row>
    <row r="312" spans="1:8" x14ac:dyDescent="0.3">
      <c r="A312" s="4" t="s">
        <v>587</v>
      </c>
      <c r="B312" s="5" t="s">
        <v>47</v>
      </c>
      <c r="C312" s="6">
        <v>45834</v>
      </c>
      <c r="D312" s="7">
        <v>882331</v>
      </c>
      <c r="E312" s="5" t="str">
        <f>_xlfn.XLOOKUP(D312,[1]!Tabela24[Código consultor],[1]!Tabela24[Consultor Venda],0,0,1)</f>
        <v>DIG - CCO - SABRINA LUIZA BANDEIRA</v>
      </c>
      <c r="F312" s="5" t="str">
        <f>_xlfn.XLOOKUP(D312,[1]!Tabela24[Código consultor],[1]!Tabela24[Canal Consultor],0,0,1)</f>
        <v>DIGITAL</v>
      </c>
      <c r="G312" s="5" t="str">
        <f>_xlfn.XLOOKUP(B312,[1]!Tabela1[[Cidades ]],[1]!Tabela1[Regional],0,0,1)</f>
        <v>Magno</v>
      </c>
      <c r="H312" s="8" t="str">
        <f>_xlfn.XLOOKUP(B312,[1]!Tabela1[[Cidades ]],[1]!Tabela1[Gerente],0,0,1)</f>
        <v>Demais coordenadores</v>
      </c>
    </row>
    <row r="313" spans="1:8" x14ac:dyDescent="0.3">
      <c r="A313" s="9" t="s">
        <v>595</v>
      </c>
      <c r="B313" s="10" t="s">
        <v>11</v>
      </c>
      <c r="C313" s="11">
        <v>45834</v>
      </c>
      <c r="D313" s="12">
        <v>781646</v>
      </c>
      <c r="E313" s="5" t="str">
        <f>_xlfn.XLOOKUP(D313,[1]!Tabela24[Código consultor],[1]!Tabela24[Consultor Venda],0,0,1)</f>
        <v>COM - CHN - EDUARDA BECKER RANGEL</v>
      </c>
      <c r="F313" s="5" t="str">
        <f>_xlfn.XLOOKUP(D313,[1]!Tabela24[Código consultor],[1]!Tabela24[Canal Consultor],0,0,1)</f>
        <v>Pap</v>
      </c>
      <c r="G313" s="10" t="str">
        <f>_xlfn.XLOOKUP(B313,[1]!Tabela1[[Cidades ]],[1]!Tabela1[Regional],0,0,1)</f>
        <v>Magno</v>
      </c>
      <c r="H313" s="13" t="str">
        <f>_xlfn.XLOOKUP(B313,[1]!Tabela1[[Cidades ]],[1]!Tabela1[Gerente],0,0,1)</f>
        <v>Demais coordenadores</v>
      </c>
    </row>
    <row r="314" spans="1:8" x14ac:dyDescent="0.3">
      <c r="A314" s="4" t="s">
        <v>597</v>
      </c>
      <c r="B314" s="5" t="s">
        <v>84</v>
      </c>
      <c r="C314" s="6">
        <v>45834</v>
      </c>
      <c r="D314" s="7">
        <v>822704</v>
      </c>
      <c r="E314" s="5" t="str">
        <f>_xlfn.XLOOKUP(D314,[1]!Tabela24[Código consultor],[1]!Tabela24[Consultor Venda],0,0,1)</f>
        <v>PAR - PAP - V S MONTEIRO - VINICIUS SILVA MONTEIRO</v>
      </c>
      <c r="F314" s="5" t="str">
        <f>_xlfn.XLOOKUP(D314,[1]!Tabela24[Código consultor],[1]!Tabela24[Canal Consultor],0,0,1)</f>
        <v>PAR</v>
      </c>
      <c r="G314" s="5" t="str">
        <f>_xlfn.XLOOKUP(B314,[1]!Tabela1[[Cidades ]],[1]!Tabela1[Regional],0,0,1)</f>
        <v>Adilson</v>
      </c>
      <c r="H314" s="8" t="str">
        <f>_xlfn.XLOOKUP(B314,[1]!Tabela1[[Cidades ]],[1]!Tabela1[Gerente],0,0,1)</f>
        <v>Demais coordenadores</v>
      </c>
    </row>
    <row r="315" spans="1:8" x14ac:dyDescent="0.3">
      <c r="A315" s="9" t="s">
        <v>600</v>
      </c>
      <c r="B315" s="10" t="s">
        <v>22</v>
      </c>
      <c r="C315" s="11">
        <v>45834</v>
      </c>
      <c r="D315" s="12">
        <v>822770</v>
      </c>
      <c r="E315" s="5" t="str">
        <f>_xlfn.XLOOKUP(D315,[1]!Tabela24[Código consultor],[1]!Tabela24[Consultor Venda],0,0,1)</f>
        <v>COM - SCR - VINICIUS ALCEMAR DA SILVA</v>
      </c>
      <c r="F315" s="5" t="str">
        <f>_xlfn.XLOOKUP(D315,[1]!Tabela24[Código consultor],[1]!Tabela24[Canal Consultor],0,0,1)</f>
        <v>Pap</v>
      </c>
      <c r="G315" s="10" t="str">
        <f>_xlfn.XLOOKUP(B315,[1]!Tabela1[[Cidades ]],[1]!Tabela1[Regional],0,0,1)</f>
        <v>Magno</v>
      </c>
      <c r="H315" s="13" t="str">
        <f>_xlfn.XLOOKUP(B315,[1]!Tabela1[[Cidades ]],[1]!Tabela1[Gerente],0,0,1)</f>
        <v>Demais coordenadores</v>
      </c>
    </row>
    <row r="316" spans="1:8" x14ac:dyDescent="0.3">
      <c r="A316" s="4" t="s">
        <v>601</v>
      </c>
      <c r="B316" s="5" t="s">
        <v>47</v>
      </c>
      <c r="C316" s="6">
        <v>45834</v>
      </c>
      <c r="D316" s="7">
        <v>600710</v>
      </c>
      <c r="E316" s="5" t="str">
        <f>_xlfn.XLOOKUP(D316,[1]!Tabela24[Código consultor],[1]!Tabela24[Consultor Venda],0,0,1)</f>
        <v>DIG - CCO - BRUNA BALBINOTTI</v>
      </c>
      <c r="F316" s="5" t="str">
        <f>_xlfn.XLOOKUP(D316,[1]!Tabela24[Código consultor],[1]!Tabela24[Canal Consultor],0,0,1)</f>
        <v>DIGITAL</v>
      </c>
      <c r="G316" s="5" t="str">
        <f>_xlfn.XLOOKUP(B316,[1]!Tabela1[[Cidades ]],[1]!Tabela1[Regional],0,0,1)</f>
        <v>Magno</v>
      </c>
      <c r="H316" s="8" t="str">
        <f>_xlfn.XLOOKUP(B316,[1]!Tabela1[[Cidades ]],[1]!Tabela1[Gerente],0,0,1)</f>
        <v>Demais coordenadores</v>
      </c>
    </row>
    <row r="317" spans="1:8" x14ac:dyDescent="0.3">
      <c r="A317" s="9" t="s">
        <v>602</v>
      </c>
      <c r="B317" s="10" t="s">
        <v>31</v>
      </c>
      <c r="C317" s="11">
        <v>45834</v>
      </c>
      <c r="D317" s="12">
        <v>600710</v>
      </c>
      <c r="E317" s="5" t="str">
        <f>_xlfn.XLOOKUP(D317,[1]!Tabela24[Código consultor],[1]!Tabela24[Consultor Venda],0,0,1)</f>
        <v>DIG - CCO - BRUNA BALBINOTTI</v>
      </c>
      <c r="F317" s="5" t="str">
        <f>_xlfn.XLOOKUP(D317,[1]!Tabela24[Código consultor],[1]!Tabela24[Canal Consultor],0,0,1)</f>
        <v>DIGITAL</v>
      </c>
      <c r="G317" s="10" t="str">
        <f>_xlfn.XLOOKUP(B317,[1]!Tabela1[[Cidades ]],[1]!Tabela1[Regional],0,0,1)</f>
        <v>Maycon</v>
      </c>
      <c r="H317" s="13" t="str">
        <f>_xlfn.XLOOKUP(B317,[1]!Tabela1[[Cidades ]],[1]!Tabela1[Gerente],0,0,1)</f>
        <v>Demais coordenadores</v>
      </c>
    </row>
    <row r="318" spans="1:8" x14ac:dyDescent="0.3">
      <c r="A318" s="4" t="s">
        <v>603</v>
      </c>
      <c r="B318" s="5" t="s">
        <v>31</v>
      </c>
      <c r="C318" s="6">
        <v>45834</v>
      </c>
      <c r="D318" s="7">
        <v>794227</v>
      </c>
      <c r="E318" s="5" t="str">
        <f>_xlfn.XLOOKUP(D318,[1]!Tabela24[Código consultor],[1]!Tabela24[Consultor Venda],0,0,1)</f>
        <v>PAR - PAP - TECH PERFORMANCE - Dario de Oliveira</v>
      </c>
      <c r="F318" s="5" t="str">
        <f>_xlfn.XLOOKUP(D318,[1]!Tabela24[Código consultor],[1]!Tabela24[Canal Consultor],0,0,1)</f>
        <v>Par</v>
      </c>
      <c r="G318" s="5" t="str">
        <f>_xlfn.XLOOKUP(B318,[1]!Tabela1[[Cidades ]],[1]!Tabela1[Regional],0,0,1)</f>
        <v>Maycon</v>
      </c>
      <c r="H318" s="8" t="str">
        <f>_xlfn.XLOOKUP(B318,[1]!Tabela1[[Cidades ]],[1]!Tabela1[Gerente],0,0,1)</f>
        <v>Demais coordenadores</v>
      </c>
    </row>
    <row r="319" spans="1:8" x14ac:dyDescent="0.3">
      <c r="A319" s="9" t="s">
        <v>608</v>
      </c>
      <c r="B319" s="10" t="s">
        <v>42</v>
      </c>
      <c r="C319" s="11">
        <v>45834</v>
      </c>
      <c r="D319" s="12">
        <v>836541</v>
      </c>
      <c r="E319" s="5" t="str">
        <f>_xlfn.XLOOKUP(D319,[1]!Tabela24[Código consultor],[1]!Tabela24[Consultor Venda],0,0,1)</f>
        <v>COM - CDA - SARA DA SILVA LESSE</v>
      </c>
      <c r="F319" s="5" t="str">
        <f>_xlfn.XLOOKUP(D319,[1]!Tabela24[Código consultor],[1]!Tabela24[Canal Consultor],0,0,1)</f>
        <v>INTERNO</v>
      </c>
      <c r="G319" s="10" t="str">
        <f>_xlfn.XLOOKUP(B319,[1]!Tabela1[[Cidades ]],[1]!Tabela1[Regional],0,0,1)</f>
        <v>Maycon</v>
      </c>
      <c r="H319" s="13" t="str">
        <f>_xlfn.XLOOKUP(B319,[1]!Tabela1[[Cidades ]],[1]!Tabela1[Gerente],0,0,1)</f>
        <v>Demais coordenadores</v>
      </c>
    </row>
    <row r="320" spans="1:8" x14ac:dyDescent="0.3">
      <c r="A320" s="4" t="s">
        <v>612</v>
      </c>
      <c r="B320" s="5" t="s">
        <v>23</v>
      </c>
      <c r="C320" s="6">
        <v>45834</v>
      </c>
      <c r="D320" s="7">
        <v>861705</v>
      </c>
      <c r="E320" s="5" t="str">
        <f>_xlfn.XLOOKUP(D320,[1]!Tabela24[Código consultor],[1]!Tabela24[Consultor Venda],0,0,1)</f>
        <v>PAR - COM - PAP - TQR - ERIKA DE OLIVEIRA GALLE</v>
      </c>
      <c r="F320" s="5" t="str">
        <f>_xlfn.XLOOKUP(D320,[1]!Tabela24[Código consultor],[1]!Tabela24[Canal Consultor],0,0,1)</f>
        <v>PAR</v>
      </c>
      <c r="G320" s="5" t="str">
        <f>_xlfn.XLOOKUP(B320,[1]!Tabela1[[Cidades ]],[1]!Tabela1[Regional],0,0,1)</f>
        <v>Magno</v>
      </c>
      <c r="H320" s="8" t="str">
        <f>_xlfn.XLOOKUP(B320,[1]!Tabela1[[Cidades ]],[1]!Tabela1[Gerente],0,0,1)</f>
        <v>Demais coordenadores</v>
      </c>
    </row>
    <row r="321" spans="1:8" x14ac:dyDescent="0.3">
      <c r="A321" s="9" t="s">
        <v>615</v>
      </c>
      <c r="B321" s="10" t="s">
        <v>11</v>
      </c>
      <c r="C321" s="11">
        <v>45834</v>
      </c>
      <c r="D321" s="12">
        <v>781649</v>
      </c>
      <c r="E321" s="5" t="str">
        <f>_xlfn.XLOOKUP(D321,[1]!Tabela24[Código consultor],[1]!Tabela24[Consultor Venda],0,0,1)</f>
        <v>COM - GTI - EMILLY CARDOSO BALTHAZAR</v>
      </c>
      <c r="F321" s="5" t="str">
        <f>_xlfn.XLOOKUP(D321,[1]!Tabela24[Código consultor],[1]!Tabela24[Canal Consultor],0,0,1)</f>
        <v>Pap</v>
      </c>
      <c r="G321" s="10" t="str">
        <f>_xlfn.XLOOKUP(B321,[1]!Tabela1[[Cidades ]],[1]!Tabela1[Regional],0,0,1)</f>
        <v>Magno</v>
      </c>
      <c r="H321" s="13" t="str">
        <f>_xlfn.XLOOKUP(B321,[1]!Tabela1[[Cidades ]],[1]!Tabela1[Gerente],0,0,1)</f>
        <v>Demais coordenadores</v>
      </c>
    </row>
    <row r="322" spans="1:8" x14ac:dyDescent="0.3">
      <c r="A322" s="4" t="s">
        <v>622</v>
      </c>
      <c r="B322" s="5" t="s">
        <v>22</v>
      </c>
      <c r="C322" s="6">
        <v>45834</v>
      </c>
      <c r="D322" s="7">
        <v>716615</v>
      </c>
      <c r="E322" s="5" t="str">
        <f>_xlfn.XLOOKUP(D322,[1]!Tabela24[Código consultor],[1]!Tabela24[Consultor Venda],0,0,1)</f>
        <v>COM - SCR - MARCO ANTONIO NUNES DOS SANTOS</v>
      </c>
      <c r="F322" s="5" t="str">
        <f>_xlfn.XLOOKUP(D322,[1]!Tabela24[Código consultor],[1]!Tabela24[Canal Consultor],0,0,1)</f>
        <v>Pap</v>
      </c>
      <c r="G322" s="5" t="str">
        <f>_xlfn.XLOOKUP(B322,[1]!Tabela1[[Cidades ]],[1]!Tabela1[Regional],0,0,1)</f>
        <v>Magno</v>
      </c>
      <c r="H322" s="8" t="str">
        <f>_xlfn.XLOOKUP(B322,[1]!Tabela1[[Cidades ]],[1]!Tabela1[Gerente],0,0,1)</f>
        <v>Demais coordenadores</v>
      </c>
    </row>
    <row r="323" spans="1:8" x14ac:dyDescent="0.3">
      <c r="A323" s="9" t="s">
        <v>627</v>
      </c>
      <c r="B323" s="10" t="s">
        <v>47</v>
      </c>
      <c r="C323" s="11">
        <v>45834</v>
      </c>
      <c r="D323" s="12">
        <v>873652</v>
      </c>
      <c r="E323" s="5" t="str">
        <f>_xlfn.XLOOKUP(D323,[1]!Tabela24[Código consultor],[1]!Tabela24[Consultor Venda],0,0,1)</f>
        <v>COM - VAI - KAREN NUNES SANHUDO</v>
      </c>
      <c r="F323" s="5" t="str">
        <f>_xlfn.XLOOKUP(D323,[1]!Tabela24[Código consultor],[1]!Tabela24[Canal Consultor],0,0,1)</f>
        <v>INTERNO</v>
      </c>
      <c r="G323" s="10" t="str">
        <f>_xlfn.XLOOKUP(B323,[1]!Tabela1[[Cidades ]],[1]!Tabela1[Regional],0,0,1)</f>
        <v>Magno</v>
      </c>
      <c r="H323" s="13" t="str">
        <f>_xlfn.XLOOKUP(B323,[1]!Tabela1[[Cidades ]],[1]!Tabela1[Gerente],0,0,1)</f>
        <v>Demais coordenadores</v>
      </c>
    </row>
    <row r="324" spans="1:8" x14ac:dyDescent="0.3">
      <c r="A324" s="4" t="s">
        <v>629</v>
      </c>
      <c r="B324" s="5" t="s">
        <v>12</v>
      </c>
      <c r="C324" s="6">
        <v>45834</v>
      </c>
      <c r="D324" s="7">
        <v>866566</v>
      </c>
      <c r="E324" s="5" t="str">
        <f>_xlfn.XLOOKUP(D324,[1]!Tabela24[Código consultor],[1]!Tabela24[Consultor Venda],0,0,1)</f>
        <v>PAR - PAP - PGO - LIVIA FLAVIA NUNES LOPES SANTOS</v>
      </c>
      <c r="F324" s="5" t="str">
        <f>_xlfn.XLOOKUP(D324,[1]!Tabela24[Código consultor],[1]!Tabela24[Canal Consultor],0,0,1)</f>
        <v>PAR</v>
      </c>
      <c r="G324" s="5" t="str">
        <f>_xlfn.XLOOKUP(B324,[1]!Tabela1[[Cidades ]],[1]!Tabela1[Regional],0,0,1)</f>
        <v>Jean</v>
      </c>
      <c r="H324" s="8" t="str">
        <f>_xlfn.XLOOKUP(B324,[1]!Tabela1[[Cidades ]],[1]!Tabela1[Gerente],0,0,1)</f>
        <v>Demais coordenadores</v>
      </c>
    </row>
    <row r="325" spans="1:8" x14ac:dyDescent="0.3">
      <c r="A325" s="9" t="s">
        <v>634</v>
      </c>
      <c r="B325" s="10" t="s">
        <v>11</v>
      </c>
      <c r="C325" s="11">
        <v>45834</v>
      </c>
      <c r="D325" s="12">
        <v>882357</v>
      </c>
      <c r="E325" s="5" t="str">
        <f>_xlfn.XLOOKUP(D325,[1]!Tabela24[Código consultor],[1]!Tabela24[Consultor Venda],0,0,1)</f>
        <v>COM - GTI - CESAR ALFREDO MENSCH</v>
      </c>
      <c r="F325" s="5" t="str">
        <f>_xlfn.XLOOKUP(D325,[1]!Tabela24[Código consultor],[1]!Tabela24[Canal Consultor],0,0,1)</f>
        <v>Pap</v>
      </c>
      <c r="G325" s="10" t="str">
        <f>_xlfn.XLOOKUP(B325,[1]!Tabela1[[Cidades ]],[1]!Tabela1[Regional],0,0,1)</f>
        <v>Magno</v>
      </c>
      <c r="H325" s="13" t="str">
        <f>_xlfn.XLOOKUP(B325,[1]!Tabela1[[Cidades ]],[1]!Tabela1[Gerente],0,0,1)</f>
        <v>Demais coordenadores</v>
      </c>
    </row>
    <row r="326" spans="1:8" x14ac:dyDescent="0.3">
      <c r="A326" s="4" t="s">
        <v>648</v>
      </c>
      <c r="B326" s="5" t="s">
        <v>42</v>
      </c>
      <c r="C326" s="6">
        <v>45834</v>
      </c>
      <c r="D326" s="7">
        <v>788656</v>
      </c>
      <c r="E326" s="5" t="str">
        <f>_xlfn.XLOOKUP(D326,[1]!Tabela24[Código consultor],[1]!Tabela24[Consultor Venda],0,0,1)</f>
        <v>PAR - STB - PAP - JOY TELECOM - GABRIELA ALVES DE GODOY</v>
      </c>
      <c r="F326" s="5" t="str">
        <f>_xlfn.XLOOKUP(D326,[1]!Tabela24[Código consultor],[1]!Tabela24[Canal Consultor],0,0,1)</f>
        <v>PAR_DIG</v>
      </c>
      <c r="G326" s="5" t="str">
        <f>_xlfn.XLOOKUP(B326,[1]!Tabela1[[Cidades ]],[1]!Tabela1[Regional],0,0,1)</f>
        <v>Maycon</v>
      </c>
      <c r="H326" s="8" t="str">
        <f>_xlfn.XLOOKUP(B326,[1]!Tabela1[[Cidades ]],[1]!Tabela1[Gerente],0,0,1)</f>
        <v>Demais coordenadores</v>
      </c>
    </row>
    <row r="327" spans="1:8" x14ac:dyDescent="0.3">
      <c r="A327" s="9" t="s">
        <v>650</v>
      </c>
      <c r="B327" s="10" t="s">
        <v>44</v>
      </c>
      <c r="C327" s="11">
        <v>45834</v>
      </c>
      <c r="D327" s="12">
        <v>674036</v>
      </c>
      <c r="E327" s="5" t="str">
        <f>_xlfn.XLOOKUP(D327,[1]!Tabela24[Código consultor],[1]!Tabela24[Consultor Venda],0,0,1)</f>
        <v>COM - IRI - RODRIGO SOARES DA SILVA</v>
      </c>
      <c r="F327" s="5" t="str">
        <f>_xlfn.XLOOKUP(D327,[1]!Tabela24[Código consultor],[1]!Tabela24[Canal Consultor],0,0,1)</f>
        <v>Pap</v>
      </c>
      <c r="G327" s="10" t="str">
        <f>_xlfn.XLOOKUP(B327,[1]!Tabela1[[Cidades ]],[1]!Tabela1[Regional],0,0,1)</f>
        <v>Jean</v>
      </c>
      <c r="H327" s="13" t="str">
        <f>_xlfn.XLOOKUP(B327,[1]!Tabela1[[Cidades ]],[1]!Tabela1[Gerente],0,0,1)</f>
        <v>Demais coordenadores</v>
      </c>
    </row>
    <row r="328" spans="1:8" x14ac:dyDescent="0.3">
      <c r="A328" s="4" t="s">
        <v>651</v>
      </c>
      <c r="B328" s="5" t="s">
        <v>33</v>
      </c>
      <c r="C328" s="6">
        <v>45834</v>
      </c>
      <c r="D328" s="7">
        <v>177442</v>
      </c>
      <c r="E328" s="5" t="str">
        <f>_xlfn.XLOOKUP(D328,[1]!Tabela24[Código consultor],[1]!Tabela24[Consultor Venda],0,0,1)</f>
        <v>COM - XXE - MARCOS MEZZOMO</v>
      </c>
      <c r="F328" s="5" t="str">
        <f>_xlfn.XLOOKUP(D328,[1]!Tabela24[Código consultor],[1]!Tabela24[Canal Consultor],0,0,1)</f>
        <v>Pap</v>
      </c>
      <c r="G328" s="5" t="str">
        <f>_xlfn.XLOOKUP(B328,[1]!Tabela1[[Cidades ]],[1]!Tabela1[Regional],0,0,1)</f>
        <v>Maycon</v>
      </c>
      <c r="H328" s="8" t="str">
        <f>_xlfn.XLOOKUP(B328,[1]!Tabela1[[Cidades ]],[1]!Tabela1[Gerente],0,0,1)</f>
        <v>Demais coordenadores</v>
      </c>
    </row>
    <row r="329" spans="1:8" x14ac:dyDescent="0.3">
      <c r="A329" s="9" t="s">
        <v>536</v>
      </c>
      <c r="B329" s="10" t="s">
        <v>31</v>
      </c>
      <c r="C329" s="11">
        <v>45834</v>
      </c>
      <c r="D329" s="12">
        <v>729970</v>
      </c>
      <c r="E329" s="5" t="str">
        <f>_xlfn.XLOOKUP(D329,[1]!Tabela24[Código consultor],[1]!Tabela24[Consultor Venda],0,0,1)</f>
        <v>COM - UMR - VINICIUS HENRIQUE HUSS DA MOTA</v>
      </c>
      <c r="F329" s="5" t="str">
        <f>_xlfn.XLOOKUP(D329,[1]!Tabela24[Código consultor],[1]!Tabela24[Canal Consultor],0,0,1)</f>
        <v>INTERNO</v>
      </c>
      <c r="G329" s="10" t="str">
        <f>_xlfn.XLOOKUP(B329,[1]!Tabela1[[Cidades ]],[1]!Tabela1[Regional],0,0,1)</f>
        <v>Maycon</v>
      </c>
      <c r="H329" s="13" t="str">
        <f>_xlfn.XLOOKUP(B329,[1]!Tabela1[[Cidades ]],[1]!Tabela1[Gerente],0,0,1)</f>
        <v>Demais coordenadores</v>
      </c>
    </row>
    <row r="330" spans="1:8" x14ac:dyDescent="0.3">
      <c r="A330" s="4" t="s">
        <v>537</v>
      </c>
      <c r="B330" s="5" t="s">
        <v>31</v>
      </c>
      <c r="C330" s="6">
        <v>45834</v>
      </c>
      <c r="D330" s="7">
        <v>788656</v>
      </c>
      <c r="E330" s="5" t="str">
        <f>_xlfn.XLOOKUP(D330,[1]!Tabela24[Código consultor],[1]!Tabela24[Consultor Venda],0,0,1)</f>
        <v>PAR - STB - PAP - JOY TELECOM - GABRIELA ALVES DE GODOY</v>
      </c>
      <c r="F330" s="5" t="str">
        <f>_xlfn.XLOOKUP(D330,[1]!Tabela24[Código consultor],[1]!Tabela24[Canal Consultor],0,0,1)</f>
        <v>PAR_DIG</v>
      </c>
      <c r="G330" s="5" t="str">
        <f>_xlfn.XLOOKUP(B330,[1]!Tabela1[[Cidades ]],[1]!Tabela1[Regional],0,0,1)</f>
        <v>Maycon</v>
      </c>
      <c r="H330" s="8" t="str">
        <f>_xlfn.XLOOKUP(B330,[1]!Tabela1[[Cidades ]],[1]!Tabela1[Gerente],0,0,1)</f>
        <v>Demais coordenadores</v>
      </c>
    </row>
    <row r="331" spans="1:8" x14ac:dyDescent="0.3">
      <c r="A331" s="9" t="s">
        <v>538</v>
      </c>
      <c r="B331" s="10" t="s">
        <v>121</v>
      </c>
      <c r="C331" s="11">
        <v>45834</v>
      </c>
      <c r="D331" s="12">
        <v>197832</v>
      </c>
      <c r="E331" s="5" t="str">
        <f>_xlfn.XLOOKUP(D331,[1]!Tabela24[Código consultor],[1]!Tabela24[Consultor Venda],0,0,1)</f>
        <v>DIG - CCO - RAIANE BERGAMIN</v>
      </c>
      <c r="F331" s="5" t="str">
        <f>_xlfn.XLOOKUP(D331,[1]!Tabela24[Código consultor],[1]!Tabela24[Canal Consultor],0,0,1)</f>
        <v>DIGITAL</v>
      </c>
      <c r="G331" s="10" t="str">
        <f>_xlfn.XLOOKUP(B331,[1]!Tabela1[[Cidades ]],[1]!Tabela1[Regional],0,0,1)</f>
        <v>Maycon</v>
      </c>
      <c r="H331" s="13" t="str">
        <f>_xlfn.XLOOKUP(B331,[1]!Tabela1[[Cidades ]],[1]!Tabela1[Gerente],0,0,1)</f>
        <v>Demais coordenadores</v>
      </c>
    </row>
    <row r="332" spans="1:8" x14ac:dyDescent="0.3">
      <c r="A332" s="4" t="s">
        <v>656</v>
      </c>
      <c r="B332" s="5" t="s">
        <v>31</v>
      </c>
      <c r="C332" s="6">
        <v>45834</v>
      </c>
      <c r="D332" s="7">
        <v>864414</v>
      </c>
      <c r="E332" s="5" t="str">
        <f>_xlfn.XLOOKUP(D332,[1]!Tabela24[Código consultor],[1]!Tabela24[Consultor Venda],0,0,1)</f>
        <v>COM - CCO - NICOLE VITORIA COMELLI</v>
      </c>
      <c r="F332" s="5" t="str">
        <f>_xlfn.XLOOKUP(D332,[1]!Tabela24[Código consultor],[1]!Tabela24[Canal Consultor],0,0,1)</f>
        <v>INTERNO</v>
      </c>
      <c r="G332" s="5" t="str">
        <f>_xlfn.XLOOKUP(B332,[1]!Tabela1[[Cidades ]],[1]!Tabela1[Regional],0,0,1)</f>
        <v>Maycon</v>
      </c>
      <c r="H332" s="8" t="str">
        <f>_xlfn.XLOOKUP(B332,[1]!Tabela1[[Cidades ]],[1]!Tabela1[Gerente],0,0,1)</f>
        <v>Demais coordenadores</v>
      </c>
    </row>
    <row r="333" spans="1:8" x14ac:dyDescent="0.3">
      <c r="A333" s="9" t="s">
        <v>539</v>
      </c>
      <c r="B333" s="10" t="s">
        <v>13</v>
      </c>
      <c r="C333" s="11">
        <v>45834</v>
      </c>
      <c r="D333" s="12">
        <v>258400</v>
      </c>
      <c r="E333" s="5" t="str">
        <f>_xlfn.XLOOKUP(D333,[1]!Tabela24[Código consultor],[1]!Tabela24[Consultor Venda],0,0,1)</f>
        <v>O&amp;M - PAS - TEC - MATEUS SANTOS VENTURI</v>
      </c>
      <c r="F333" s="5" t="str">
        <f>_xlfn.XLOOKUP(D333,[1]!Tabela24[Código consultor],[1]!Tabela24[Canal Consultor],0,0,1)</f>
        <v>ADM Interno</v>
      </c>
      <c r="G333" s="10" t="str">
        <f>_xlfn.XLOOKUP(B333,[1]!Tabela1[[Cidades ]],[1]!Tabela1[Regional],0,0,1)</f>
        <v>Alisson</v>
      </c>
      <c r="H333" s="13" t="str">
        <f>_xlfn.XLOOKUP(B333,[1]!Tabela1[[Cidades ]],[1]!Tabela1[Gerente],0,0,1)</f>
        <v>Ariana</v>
      </c>
    </row>
    <row r="334" spans="1:8" x14ac:dyDescent="0.3">
      <c r="A334" s="4" t="s">
        <v>657</v>
      </c>
      <c r="B334" s="5" t="s">
        <v>39</v>
      </c>
      <c r="C334" s="6">
        <v>45834</v>
      </c>
      <c r="D334" s="7">
        <v>197832</v>
      </c>
      <c r="E334" s="5" t="str">
        <f>_xlfn.XLOOKUP(D334,[1]!Tabela24[Código consultor],[1]!Tabela24[Consultor Venda],0,0,1)</f>
        <v>DIG - CCO - RAIANE BERGAMIN</v>
      </c>
      <c r="F334" s="5" t="str">
        <f>_xlfn.XLOOKUP(D334,[1]!Tabela24[Código consultor],[1]!Tabela24[Canal Consultor],0,0,1)</f>
        <v>DIGITAL</v>
      </c>
      <c r="G334" s="5" t="str">
        <f>_xlfn.XLOOKUP(B334,[1]!Tabela1[[Cidades ]],[1]!Tabela1[Regional],0,0,1)</f>
        <v>Marcio</v>
      </c>
      <c r="H334" s="8" t="str">
        <f>_xlfn.XLOOKUP(B334,[1]!Tabela1[[Cidades ]],[1]!Tabela1[Gerente],0,0,1)</f>
        <v>Demais coordenadores</v>
      </c>
    </row>
    <row r="335" spans="1:8" x14ac:dyDescent="0.3">
      <c r="A335" s="9" t="s">
        <v>658</v>
      </c>
      <c r="B335" s="10" t="s">
        <v>34</v>
      </c>
      <c r="C335" s="11">
        <v>45834</v>
      </c>
      <c r="D335" s="12">
        <v>213687</v>
      </c>
      <c r="E335" s="5" t="str">
        <f>_xlfn.XLOOKUP(D335,[1]!Tabela24[Código consultor],[1]!Tabela24[Consultor Venda],0,0,1)</f>
        <v>COM - ERE - GABRIELE FERREIRA FORTUNATO</v>
      </c>
      <c r="F335" s="5" t="str">
        <f>_xlfn.XLOOKUP(D335,[1]!Tabela24[Código consultor],[1]!Tabela24[Canal Consultor],0,0,1)</f>
        <v>INTERNO</v>
      </c>
      <c r="G335" s="10" t="str">
        <f>_xlfn.XLOOKUP(B335,[1]!Tabela1[[Cidades ]],[1]!Tabela1[Regional],0,0,1)</f>
        <v>Alisson</v>
      </c>
      <c r="H335" s="13" t="str">
        <f>_xlfn.XLOOKUP(B335,[1]!Tabela1[[Cidades ]],[1]!Tabela1[Gerente],0,0,1)</f>
        <v>Karine</v>
      </c>
    </row>
    <row r="336" spans="1:8" x14ac:dyDescent="0.3">
      <c r="A336" s="4" t="s">
        <v>542</v>
      </c>
      <c r="B336" s="5" t="s">
        <v>12</v>
      </c>
      <c r="C336" s="6">
        <v>45834</v>
      </c>
      <c r="D336" s="7">
        <v>866566</v>
      </c>
      <c r="E336" s="5" t="str">
        <f>_xlfn.XLOOKUP(D336,[1]!Tabela24[Código consultor],[1]!Tabela24[Consultor Venda],0,0,1)</f>
        <v>PAR - PAP - PGO - LIVIA FLAVIA NUNES LOPES SANTOS</v>
      </c>
      <c r="F336" s="5" t="str">
        <f>_xlfn.XLOOKUP(D336,[1]!Tabela24[Código consultor],[1]!Tabela24[Canal Consultor],0,0,1)</f>
        <v>PAR</v>
      </c>
      <c r="G336" s="5" t="str">
        <f>_xlfn.XLOOKUP(B336,[1]!Tabela1[[Cidades ]],[1]!Tabela1[Regional],0,0,1)</f>
        <v>Jean</v>
      </c>
      <c r="H336" s="8" t="str">
        <f>_xlfn.XLOOKUP(B336,[1]!Tabela1[[Cidades ]],[1]!Tabela1[Gerente],0,0,1)</f>
        <v>Demais coordenadores</v>
      </c>
    </row>
    <row r="337" spans="1:8" x14ac:dyDescent="0.3">
      <c r="A337" s="9" t="s">
        <v>544</v>
      </c>
      <c r="B337" s="10" t="s">
        <v>65</v>
      </c>
      <c r="C337" s="11">
        <v>45834</v>
      </c>
      <c r="D337" s="12">
        <v>683063</v>
      </c>
      <c r="E337" s="5" t="str">
        <f>_xlfn.XLOOKUP(D337,[1]!Tabela24[Código consultor],[1]!Tabela24[Consultor Venda],0,0,1)</f>
        <v>COM - CUA - BRUNO MANOEL DO NASCIMENTO</v>
      </c>
      <c r="F337" s="5" t="str">
        <f>_xlfn.XLOOKUP(D337,[1]!Tabela24[Código consultor],[1]!Tabela24[Canal Consultor],0,0,1)</f>
        <v>Pap</v>
      </c>
      <c r="G337" s="10" t="str">
        <f>_xlfn.XLOOKUP(B337,[1]!Tabela1[[Cidades ]],[1]!Tabela1[Regional],0,0,1)</f>
        <v>Marcio</v>
      </c>
      <c r="H337" s="13" t="str">
        <f>_xlfn.XLOOKUP(B337,[1]!Tabela1[[Cidades ]],[1]!Tabela1[Gerente],0,0,1)</f>
        <v>Demais coordenadores</v>
      </c>
    </row>
    <row r="338" spans="1:8" x14ac:dyDescent="0.3">
      <c r="A338" s="4" t="s">
        <v>545</v>
      </c>
      <c r="B338" s="5" t="s">
        <v>53</v>
      </c>
      <c r="C338" s="6">
        <v>45834</v>
      </c>
      <c r="D338" s="7">
        <v>239381</v>
      </c>
      <c r="E338" s="5" t="str">
        <f>_xlfn.XLOOKUP(D338,[1]!Tabela24[Código consultor],[1]!Tabela24[Consultor Venda],0,0,1)</f>
        <v>O&amp;M - TEC - DOS - ROBERTO F. HEISS JUNIOR</v>
      </c>
      <c r="F338" s="5" t="str">
        <f>_xlfn.XLOOKUP(D338,[1]!Tabela24[Código consultor],[1]!Tabela24[Canal Consultor],0,0,1)</f>
        <v>ADM Interno</v>
      </c>
      <c r="G338" s="5" t="str">
        <f>_xlfn.XLOOKUP(B338,[1]!Tabela1[[Cidades ]],[1]!Tabela1[Regional],0,0,1)</f>
        <v>Adilson</v>
      </c>
      <c r="H338" s="8" t="str">
        <f>_xlfn.XLOOKUP(B338,[1]!Tabela1[[Cidades ]],[1]!Tabela1[Gerente],0,0,1)</f>
        <v>Demais coordenadores</v>
      </c>
    </row>
    <row r="339" spans="1:8" x14ac:dyDescent="0.3">
      <c r="A339" s="9" t="s">
        <v>546</v>
      </c>
      <c r="B339" s="10" t="s">
        <v>65</v>
      </c>
      <c r="C339" s="11">
        <v>45834</v>
      </c>
      <c r="D339" s="12">
        <v>683063</v>
      </c>
      <c r="E339" s="5" t="str">
        <f>_xlfn.XLOOKUP(D339,[1]!Tabela24[Código consultor],[1]!Tabela24[Consultor Venda],0,0,1)</f>
        <v>COM - CUA - BRUNO MANOEL DO NASCIMENTO</v>
      </c>
      <c r="F339" s="5" t="str">
        <f>_xlfn.XLOOKUP(D339,[1]!Tabela24[Código consultor],[1]!Tabela24[Canal Consultor],0,0,1)</f>
        <v>Pap</v>
      </c>
      <c r="G339" s="10" t="str">
        <f>_xlfn.XLOOKUP(B339,[1]!Tabela1[[Cidades ]],[1]!Tabela1[Regional],0,0,1)</f>
        <v>Marcio</v>
      </c>
      <c r="H339" s="13" t="str">
        <f>_xlfn.XLOOKUP(B339,[1]!Tabela1[[Cidades ]],[1]!Tabela1[Gerente],0,0,1)</f>
        <v>Demais coordenadores</v>
      </c>
    </row>
    <row r="340" spans="1:8" x14ac:dyDescent="0.3">
      <c r="A340" s="4" t="s">
        <v>548</v>
      </c>
      <c r="B340" s="5" t="s">
        <v>34</v>
      </c>
      <c r="C340" s="6">
        <v>45834</v>
      </c>
      <c r="D340" s="7">
        <v>213687</v>
      </c>
      <c r="E340" s="5" t="str">
        <f>_xlfn.XLOOKUP(D340,[1]!Tabela24[Código consultor],[1]!Tabela24[Consultor Venda],0,0,1)</f>
        <v>COM - ERE - GABRIELE FERREIRA FORTUNATO</v>
      </c>
      <c r="F340" s="5" t="str">
        <f>_xlfn.XLOOKUP(D340,[1]!Tabela24[Código consultor],[1]!Tabela24[Canal Consultor],0,0,1)</f>
        <v>INTERNO</v>
      </c>
      <c r="G340" s="5" t="str">
        <f>_xlfn.XLOOKUP(B340,[1]!Tabela1[[Cidades ]],[1]!Tabela1[Regional],0,0,1)</f>
        <v>Alisson</v>
      </c>
      <c r="H340" s="8" t="str">
        <f>_xlfn.XLOOKUP(B340,[1]!Tabela1[[Cidades ]],[1]!Tabela1[Gerente],0,0,1)</f>
        <v>Karine</v>
      </c>
    </row>
    <row r="341" spans="1:8" x14ac:dyDescent="0.3">
      <c r="A341" s="9" t="s">
        <v>659</v>
      </c>
      <c r="B341" s="10" t="s">
        <v>42</v>
      </c>
      <c r="C341" s="11">
        <v>45834</v>
      </c>
      <c r="D341" s="12">
        <v>46442</v>
      </c>
      <c r="E341" s="5" t="str">
        <f>_xlfn.XLOOKUP(D341,[1]!Tabela24[Código consultor],[1]!Tabela24[Consultor Venda],0,0,1)</f>
        <v>PAR - TEC - CDA - VANCIN INFO - NÁDIA CUMERLATO FRASNELLI</v>
      </c>
      <c r="F341" s="5" t="str">
        <f>_xlfn.XLOOKUP(D341,[1]!Tabela24[Código consultor],[1]!Tabela24[Canal Consultor],0,0,1)</f>
        <v>PAR</v>
      </c>
      <c r="G341" s="10" t="str">
        <f>_xlfn.XLOOKUP(B341,[1]!Tabela1[[Cidades ]],[1]!Tabela1[Regional],0,0,1)</f>
        <v>Maycon</v>
      </c>
      <c r="H341" s="13" t="str">
        <f>_xlfn.XLOOKUP(B341,[1]!Tabela1[[Cidades ]],[1]!Tabela1[Gerente],0,0,1)</f>
        <v>Demais coordenadores</v>
      </c>
    </row>
    <row r="342" spans="1:8" x14ac:dyDescent="0.3">
      <c r="A342" s="4" t="s">
        <v>660</v>
      </c>
      <c r="B342" s="5" t="s">
        <v>59</v>
      </c>
      <c r="C342" s="6">
        <v>45834</v>
      </c>
      <c r="D342" s="7">
        <v>600710</v>
      </c>
      <c r="E342" s="5" t="str">
        <f>_xlfn.XLOOKUP(D342,[1]!Tabela24[Código consultor],[1]!Tabela24[Consultor Venda],0,0,1)</f>
        <v>DIG - CCO - BRUNA BALBINOTTI</v>
      </c>
      <c r="F342" s="5" t="str">
        <f>_xlfn.XLOOKUP(D342,[1]!Tabela24[Código consultor],[1]!Tabela24[Canal Consultor],0,0,1)</f>
        <v>DIGITAL</v>
      </c>
      <c r="G342" s="5" t="str">
        <f>_xlfn.XLOOKUP(B342,[1]!Tabela1[[Cidades ]],[1]!Tabela1[Regional],0,0,1)</f>
        <v>Adilson</v>
      </c>
      <c r="H342" s="8" t="str">
        <f>_xlfn.XLOOKUP(B342,[1]!Tabela1[[Cidades ]],[1]!Tabela1[Gerente],0,0,1)</f>
        <v>Demais coordenadores</v>
      </c>
    </row>
    <row r="343" spans="1:8" x14ac:dyDescent="0.3">
      <c r="A343" s="9" t="s">
        <v>661</v>
      </c>
      <c r="B343" s="10" t="s">
        <v>59</v>
      </c>
      <c r="C343" s="11">
        <v>45834</v>
      </c>
      <c r="D343" s="12">
        <v>729970</v>
      </c>
      <c r="E343" s="5" t="str">
        <f>_xlfn.XLOOKUP(D343,[1]!Tabela24[Código consultor],[1]!Tabela24[Consultor Venda],0,0,1)</f>
        <v>COM - UMR - VINICIUS HENRIQUE HUSS DA MOTA</v>
      </c>
      <c r="F343" s="5" t="str">
        <f>_xlfn.XLOOKUP(D343,[1]!Tabela24[Código consultor],[1]!Tabela24[Canal Consultor],0,0,1)</f>
        <v>INTERNO</v>
      </c>
      <c r="G343" s="10" t="str">
        <f>_xlfn.XLOOKUP(B343,[1]!Tabela1[[Cidades ]],[1]!Tabela1[Regional],0,0,1)</f>
        <v>Adilson</v>
      </c>
      <c r="H343" s="13" t="str">
        <f>_xlfn.XLOOKUP(B343,[1]!Tabela1[[Cidades ]],[1]!Tabela1[Gerente],0,0,1)</f>
        <v>Demais coordenadores</v>
      </c>
    </row>
    <row r="344" spans="1:8" x14ac:dyDescent="0.3">
      <c r="A344" s="4" t="s">
        <v>549</v>
      </c>
      <c r="B344" s="5" t="s">
        <v>114</v>
      </c>
      <c r="C344" s="6">
        <v>45834</v>
      </c>
      <c r="D344" s="7">
        <v>780612</v>
      </c>
      <c r="E344" s="5" t="str">
        <f>_xlfn.XLOOKUP(D344,[1]!Tabela24[Código consultor],[1]!Tabela24[Consultor Venda],0,0,1)</f>
        <v>PAR - PAP - MUNDIALE - Luana Gabriela da Silva Moura</v>
      </c>
      <c r="F344" s="5" t="str">
        <f>_xlfn.XLOOKUP(D344,[1]!Tabela24[Código consultor],[1]!Tabela24[Canal Consultor],0,0,1)</f>
        <v>PAR_DIG</v>
      </c>
      <c r="G344" s="5" t="str">
        <f>_xlfn.XLOOKUP(B344,[1]!Tabela1[[Cidades ]],[1]!Tabela1[Regional],0,0,1)</f>
        <v>Adilson</v>
      </c>
      <c r="H344" s="8" t="str">
        <f>_xlfn.XLOOKUP(B344,[1]!Tabela1[[Cidades ]],[1]!Tabela1[Gerente],0,0,1)</f>
        <v>Demais coordenadores</v>
      </c>
    </row>
    <row r="345" spans="1:8" x14ac:dyDescent="0.3">
      <c r="A345" s="9" t="s">
        <v>662</v>
      </c>
      <c r="B345" s="10" t="s">
        <v>10</v>
      </c>
      <c r="C345" s="11">
        <v>45834</v>
      </c>
      <c r="D345" s="12">
        <v>233138</v>
      </c>
      <c r="E345" s="5" t="str">
        <f>_xlfn.XLOOKUP(D345,[1]!Tabela24[Código consultor],[1]!Tabela24[Consultor Venda],0,0,1)</f>
        <v>PAR - INTE - GRP - MOBILE HD - ALINE KARNOSKI</v>
      </c>
      <c r="F345" s="5" t="str">
        <f>_xlfn.XLOOKUP(D345,[1]!Tabela24[Código consultor],[1]!Tabela24[Canal Consultor],0,0,1)</f>
        <v>PAR</v>
      </c>
      <c r="G345" s="10" t="str">
        <f>_xlfn.XLOOKUP(B345,[1]!Tabela1[[Cidades ]],[1]!Tabela1[Regional],0,0,1)</f>
        <v>Jean</v>
      </c>
      <c r="H345" s="13" t="str">
        <f>_xlfn.XLOOKUP(B345,[1]!Tabela1[[Cidades ]],[1]!Tabela1[Gerente],0,0,1)</f>
        <v>Demais coordenadores</v>
      </c>
    </row>
    <row r="346" spans="1:8" x14ac:dyDescent="0.3">
      <c r="A346" s="4" t="s">
        <v>550</v>
      </c>
      <c r="B346" s="5" t="s">
        <v>10</v>
      </c>
      <c r="C346" s="6">
        <v>45834</v>
      </c>
      <c r="D346" s="7">
        <v>525458</v>
      </c>
      <c r="E346" s="5" t="str">
        <f>_xlfn.XLOOKUP(D346,[1]!Tabela24[Código consultor],[1]!Tabela24[Consultor Venda],0,0,1)</f>
        <v>PAR - ADM - GRP - FIGUEREDO MOBILE  - JOSELIO O. P. JUNIOR</v>
      </c>
      <c r="F346" s="5" t="str">
        <f>_xlfn.XLOOKUP(D346,[1]!Tabela24[Código consultor],[1]!Tabela24[Canal Consultor],0,0,1)</f>
        <v>PAR</v>
      </c>
      <c r="G346" s="5" t="str">
        <f>_xlfn.XLOOKUP(B346,[1]!Tabela1[[Cidades ]],[1]!Tabela1[Regional],0,0,1)</f>
        <v>Jean</v>
      </c>
      <c r="H346" s="8" t="str">
        <f>_xlfn.XLOOKUP(B346,[1]!Tabela1[[Cidades ]],[1]!Tabela1[Gerente],0,0,1)</f>
        <v>Demais coordenadores</v>
      </c>
    </row>
    <row r="347" spans="1:8" x14ac:dyDescent="0.3">
      <c r="A347" s="9" t="s">
        <v>663</v>
      </c>
      <c r="B347" s="10" t="s">
        <v>12</v>
      </c>
      <c r="C347" s="11">
        <v>45834</v>
      </c>
      <c r="D347" s="12">
        <v>236724</v>
      </c>
      <c r="E347" s="5" t="str">
        <f>_xlfn.XLOOKUP(D347,[1]!Tabela24[Código consultor],[1]!Tabela24[Consultor Venda],0,0,1)</f>
        <v>COM - PGO - MAISE GABRIELLY BATISTA</v>
      </c>
      <c r="F347" s="5" t="str">
        <f>_xlfn.XLOOKUP(D347,[1]!Tabela24[Código consultor],[1]!Tabela24[Canal Consultor],0,0,1)</f>
        <v>INTERNO</v>
      </c>
      <c r="G347" s="10" t="str">
        <f>_xlfn.XLOOKUP(B347,[1]!Tabela1[[Cidades ]],[1]!Tabela1[Regional],0,0,1)</f>
        <v>Jean</v>
      </c>
      <c r="H347" s="13" t="str">
        <f>_xlfn.XLOOKUP(B347,[1]!Tabela1[[Cidades ]],[1]!Tabela1[Gerente],0,0,1)</f>
        <v>Demais coordenadores</v>
      </c>
    </row>
    <row r="348" spans="1:8" x14ac:dyDescent="0.3">
      <c r="A348" s="4" t="s">
        <v>551</v>
      </c>
      <c r="B348" s="5" t="s">
        <v>46</v>
      </c>
      <c r="C348" s="6">
        <v>45834</v>
      </c>
      <c r="D348" s="7">
        <v>46617</v>
      </c>
      <c r="E348" s="5" t="str">
        <f>_xlfn.XLOOKUP(D348,[1]!Tabela24[Código consultor],[1]!Tabela24[Consultor Venda],0,0,1)</f>
        <v>COM - BGV - VICTOR MATHEUS MARIUZZA</v>
      </c>
      <c r="F348" s="5" t="str">
        <f>_xlfn.XLOOKUP(D348,[1]!Tabela24[Código consultor],[1]!Tabela24[Canal Consultor],0,0,1)</f>
        <v>INTERNO</v>
      </c>
      <c r="G348" s="5" t="str">
        <f>_xlfn.XLOOKUP(B348,[1]!Tabela1[[Cidades ]],[1]!Tabela1[Regional],0,0,1)</f>
        <v>Magno</v>
      </c>
      <c r="H348" s="8" t="str">
        <f>_xlfn.XLOOKUP(B348,[1]!Tabela1[[Cidades ]],[1]!Tabela1[Gerente],0,0,1)</f>
        <v>Demais coordenadores</v>
      </c>
    </row>
    <row r="349" spans="1:8" x14ac:dyDescent="0.3">
      <c r="A349" s="9" t="s">
        <v>552</v>
      </c>
      <c r="B349" s="10" t="s">
        <v>10</v>
      </c>
      <c r="C349" s="11">
        <v>45834</v>
      </c>
      <c r="D349" s="12">
        <v>811237</v>
      </c>
      <c r="E349" s="5" t="str">
        <f>_xlfn.XLOOKUP(D349,[1]!Tabela24[Código consultor],[1]!Tabela24[Consultor Venda],0,0,1)</f>
        <v>DIG - CCO - MAIKON JORDAN CHAVES DE QUADROS</v>
      </c>
      <c r="F349" s="5" t="str">
        <f>_xlfn.XLOOKUP(D349,[1]!Tabela24[Código consultor],[1]!Tabela24[Canal Consultor],0,0,1)</f>
        <v>DIGITAL</v>
      </c>
      <c r="G349" s="10" t="str">
        <f>_xlfn.XLOOKUP(B349,[1]!Tabela1[[Cidades ]],[1]!Tabela1[Regional],0,0,1)</f>
        <v>Jean</v>
      </c>
      <c r="H349" s="13" t="str">
        <f>_xlfn.XLOOKUP(B349,[1]!Tabela1[[Cidades ]],[1]!Tabela1[Gerente],0,0,1)</f>
        <v>Demais coordenadores</v>
      </c>
    </row>
    <row r="350" spans="1:8" x14ac:dyDescent="0.3">
      <c r="A350" s="4" t="s">
        <v>553</v>
      </c>
      <c r="B350" s="5" t="s">
        <v>32</v>
      </c>
      <c r="C350" s="6">
        <v>45834</v>
      </c>
      <c r="D350" s="7">
        <v>555881</v>
      </c>
      <c r="E350" s="5" t="str">
        <f>_xlfn.XLOOKUP(D350,[1]!Tabela24[Código consultor],[1]!Tabela24[Consultor Venda],0,0,1)</f>
        <v>COM - IGA - LUIS FELIPE SIQUEIRA DE LIMA</v>
      </c>
      <c r="F350" s="5" t="str">
        <f>_xlfn.XLOOKUP(D350,[1]!Tabela24[Código consultor],[1]!Tabela24[Canal Consultor],0,0,1)</f>
        <v>INTERNO</v>
      </c>
      <c r="G350" s="5" t="str">
        <f>_xlfn.XLOOKUP(B350,[1]!Tabela1[[Cidades ]],[1]!Tabela1[Regional],0,0,1)</f>
        <v>Jean</v>
      </c>
      <c r="H350" s="8" t="str">
        <f>_xlfn.XLOOKUP(B350,[1]!Tabela1[[Cidades ]],[1]!Tabela1[Gerente],0,0,1)</f>
        <v>Demais coordenadores</v>
      </c>
    </row>
    <row r="351" spans="1:8" x14ac:dyDescent="0.3">
      <c r="A351" s="9" t="s">
        <v>664</v>
      </c>
      <c r="B351" s="10" t="s">
        <v>22</v>
      </c>
      <c r="C351" s="11">
        <v>45834</v>
      </c>
      <c r="D351" s="12">
        <v>683349</v>
      </c>
      <c r="E351" s="5" t="str">
        <f>_xlfn.XLOOKUP(D351,[1]!Tabela24[Código consultor],[1]!Tabela24[Consultor Venda],0,0,1)</f>
        <v>DIG - CCO - EVELLIN SALOA MAIA DA CONCEICAO</v>
      </c>
      <c r="F351" s="5" t="str">
        <f>_xlfn.XLOOKUP(D351,[1]!Tabela24[Código consultor],[1]!Tabela24[Canal Consultor],0,0,1)</f>
        <v>DIGITAL</v>
      </c>
      <c r="G351" s="10" t="str">
        <f>_xlfn.XLOOKUP(B351,[1]!Tabela1[[Cidades ]],[1]!Tabela1[Regional],0,0,1)</f>
        <v>Magno</v>
      </c>
      <c r="H351" s="13" t="str">
        <f>_xlfn.XLOOKUP(B351,[1]!Tabela1[[Cidades ]],[1]!Tabela1[Gerente],0,0,1)</f>
        <v>Demais coordenadores</v>
      </c>
    </row>
    <row r="352" spans="1:8" x14ac:dyDescent="0.3">
      <c r="A352" s="4" t="s">
        <v>665</v>
      </c>
      <c r="B352" s="5" t="s">
        <v>18</v>
      </c>
      <c r="C352" s="6">
        <v>45834</v>
      </c>
      <c r="D352" s="7">
        <v>600710</v>
      </c>
      <c r="E352" s="5" t="str">
        <f>_xlfn.XLOOKUP(D352,[1]!Tabela24[Código consultor],[1]!Tabela24[Consultor Venda],0,0,1)</f>
        <v>DIG - CCO - BRUNA BALBINOTTI</v>
      </c>
      <c r="F352" s="5" t="str">
        <f>_xlfn.XLOOKUP(D352,[1]!Tabela24[Código consultor],[1]!Tabela24[Canal Consultor],0,0,1)</f>
        <v>DIGITAL</v>
      </c>
      <c r="G352" s="5" t="str">
        <f>_xlfn.XLOOKUP(B352,[1]!Tabela1[[Cidades ]],[1]!Tabela1[Regional],0,0,1)</f>
        <v>Maycon</v>
      </c>
      <c r="H352" s="8" t="str">
        <f>_xlfn.XLOOKUP(B352,[1]!Tabela1[[Cidades ]],[1]!Tabela1[Gerente],0,0,1)</f>
        <v>Demais coordenadores</v>
      </c>
    </row>
    <row r="353" spans="1:8" x14ac:dyDescent="0.3">
      <c r="A353" s="9" t="s">
        <v>666</v>
      </c>
      <c r="B353" s="10" t="s">
        <v>31</v>
      </c>
      <c r="C353" s="11">
        <v>45834</v>
      </c>
      <c r="D353" s="12">
        <v>863796</v>
      </c>
      <c r="E353" s="5" t="str">
        <f>_xlfn.XLOOKUP(D353,[1]!Tabela24[Código consultor],[1]!Tabela24[Consultor Venda],0,0,1)</f>
        <v>COM - CCO - MARIUSKYS LOISMARY SILVA BOLIVAR</v>
      </c>
      <c r="F353" s="5" t="str">
        <f>_xlfn.XLOOKUP(D353,[1]!Tabela24[Código consultor],[1]!Tabela24[Canal Consultor],0,0,1)</f>
        <v>INTERNO</v>
      </c>
      <c r="G353" s="10" t="str">
        <f>_xlfn.XLOOKUP(B353,[1]!Tabela1[[Cidades ]],[1]!Tabela1[Regional],0,0,1)</f>
        <v>Maycon</v>
      </c>
      <c r="H353" s="13" t="str">
        <f>_xlfn.XLOOKUP(B353,[1]!Tabela1[[Cidades ]],[1]!Tabela1[Gerente],0,0,1)</f>
        <v>Demais coordenadores</v>
      </c>
    </row>
    <row r="354" spans="1:8" x14ac:dyDescent="0.3">
      <c r="A354" s="4" t="s">
        <v>557</v>
      </c>
      <c r="B354" s="5" t="s">
        <v>31</v>
      </c>
      <c r="C354" s="6">
        <v>45834</v>
      </c>
      <c r="D354" s="7">
        <v>694166</v>
      </c>
      <c r="E354" s="5" t="str">
        <f>_xlfn.XLOOKUP(D354,[1]!Tabela24[Código consultor],[1]!Tabela24[Consultor Venda],0,0,1)</f>
        <v>DIG - CCO - CARINE CORREA SOARES</v>
      </c>
      <c r="F354" s="5" t="str">
        <f>_xlfn.XLOOKUP(D354,[1]!Tabela24[Código consultor],[1]!Tabela24[Canal Consultor],0,0,1)</f>
        <v>DIGITAL</v>
      </c>
      <c r="G354" s="5" t="str">
        <f>_xlfn.XLOOKUP(B354,[1]!Tabela1[[Cidades ]],[1]!Tabela1[Regional],0,0,1)</f>
        <v>Maycon</v>
      </c>
      <c r="H354" s="8" t="str">
        <f>_xlfn.XLOOKUP(B354,[1]!Tabela1[[Cidades ]],[1]!Tabela1[Gerente],0,0,1)</f>
        <v>Demais coordenadores</v>
      </c>
    </row>
    <row r="355" spans="1:8" x14ac:dyDescent="0.3">
      <c r="A355" s="9" t="s">
        <v>667</v>
      </c>
      <c r="B355" s="10" t="s">
        <v>10</v>
      </c>
      <c r="C355" s="11">
        <v>45834</v>
      </c>
      <c r="D355" s="12">
        <v>233138</v>
      </c>
      <c r="E355" s="5" t="str">
        <f>_xlfn.XLOOKUP(D355,[1]!Tabela24[Código consultor],[1]!Tabela24[Consultor Venda],0,0,1)</f>
        <v>PAR - INTE - GRP - MOBILE HD - ALINE KARNOSKI</v>
      </c>
      <c r="F355" s="5" t="str">
        <f>_xlfn.XLOOKUP(D355,[1]!Tabela24[Código consultor],[1]!Tabela24[Canal Consultor],0,0,1)</f>
        <v>PAR</v>
      </c>
      <c r="G355" s="10" t="str">
        <f>_xlfn.XLOOKUP(B355,[1]!Tabela1[[Cidades ]],[1]!Tabela1[Regional],0,0,1)</f>
        <v>Jean</v>
      </c>
      <c r="H355" s="13" t="str">
        <f>_xlfn.XLOOKUP(B355,[1]!Tabela1[[Cidades ]],[1]!Tabela1[Gerente],0,0,1)</f>
        <v>Demais coordenadores</v>
      </c>
    </row>
    <row r="356" spans="1:8" x14ac:dyDescent="0.3">
      <c r="A356" s="4" t="s">
        <v>558</v>
      </c>
      <c r="B356" s="5" t="s">
        <v>24</v>
      </c>
      <c r="C356" s="6">
        <v>45834</v>
      </c>
      <c r="D356" s="7">
        <v>608355</v>
      </c>
      <c r="E356" s="5" t="str">
        <f>_xlfn.XLOOKUP(D356,[1]!Tabela24[Código consultor],[1]!Tabela24[Consultor Venda],0,0,1)</f>
        <v>COM - SMA - JANAINA SEBBEN DOS SANTOS</v>
      </c>
      <c r="F356" s="5" t="str">
        <f>_xlfn.XLOOKUP(D356,[1]!Tabela24[Código consultor],[1]!Tabela24[Canal Consultor],0,0,1)</f>
        <v>INTERNO</v>
      </c>
      <c r="G356" s="5" t="str">
        <f>_xlfn.XLOOKUP(B356,[1]!Tabela1[[Cidades ]],[1]!Tabela1[Regional],0,0,1)</f>
        <v>Magno</v>
      </c>
      <c r="H356" s="8" t="str">
        <f>_xlfn.XLOOKUP(B356,[1]!Tabela1[[Cidades ]],[1]!Tabela1[Gerente],0,0,1)</f>
        <v>Demais coordenadores</v>
      </c>
    </row>
    <row r="357" spans="1:8" x14ac:dyDescent="0.3">
      <c r="A357" s="9" t="s">
        <v>559</v>
      </c>
      <c r="B357" s="10" t="s">
        <v>66</v>
      </c>
      <c r="C357" s="11">
        <v>45834</v>
      </c>
      <c r="D357" s="12">
        <v>870740</v>
      </c>
      <c r="E357" s="5" t="str">
        <f>_xlfn.XLOOKUP(D357,[1]!Tabela24[Código consultor],[1]!Tabela24[Consultor Venda],0,0,1)</f>
        <v>COM - FNS - VINICIUS DE SOUZA NUNES</v>
      </c>
      <c r="F357" s="5" t="str">
        <f>_xlfn.XLOOKUP(D357,[1]!Tabela24[Código consultor],[1]!Tabela24[Canal Consultor],0,0,1)</f>
        <v>INTERNO</v>
      </c>
      <c r="G357" s="10" t="str">
        <f>_xlfn.XLOOKUP(B357,[1]!Tabela1[[Cidades ]],[1]!Tabela1[Regional],0,0,1)</f>
        <v>Marcio</v>
      </c>
      <c r="H357" s="13" t="str">
        <f>_xlfn.XLOOKUP(B357,[1]!Tabela1[[Cidades ]],[1]!Tabela1[Gerente],0,0,1)</f>
        <v>Demais coordenadores</v>
      </c>
    </row>
    <row r="358" spans="1:8" x14ac:dyDescent="0.3">
      <c r="A358" s="4" t="s">
        <v>139</v>
      </c>
      <c r="B358" s="5" t="s">
        <v>27</v>
      </c>
      <c r="C358" s="6">
        <v>45834</v>
      </c>
      <c r="D358" s="7">
        <v>844442</v>
      </c>
      <c r="E358" s="5" t="str">
        <f>_xlfn.XLOOKUP(D358,[1]!Tabela24[Código consultor],[1]!Tabela24[Consultor Venda],0,0,1)</f>
        <v>COM - VAA - EMILLY SILVA</v>
      </c>
      <c r="F358" s="5" t="str">
        <f>_xlfn.XLOOKUP(D358,[1]!Tabela24[Código consultor],[1]!Tabela24[Canal Consultor],0,0,1)</f>
        <v>Pap</v>
      </c>
      <c r="G358" s="5" t="str">
        <f>_xlfn.XLOOKUP(B358,[1]!Tabela1[[Cidades ]],[1]!Tabela1[Regional],0,0,1)</f>
        <v>Alisson</v>
      </c>
      <c r="H358" s="8" t="str">
        <f>_xlfn.XLOOKUP(B358,[1]!Tabela1[[Cidades ]],[1]!Tabela1[Gerente],0,0,1)</f>
        <v>Tatiane</v>
      </c>
    </row>
    <row r="359" spans="1:8" x14ac:dyDescent="0.3">
      <c r="A359" s="9" t="s">
        <v>560</v>
      </c>
      <c r="B359" s="10" t="s">
        <v>19</v>
      </c>
      <c r="C359" s="11">
        <v>45834</v>
      </c>
      <c r="D359" s="12">
        <v>788656</v>
      </c>
      <c r="E359" s="5" t="str">
        <f>_xlfn.XLOOKUP(D359,[1]!Tabela24[Código consultor],[1]!Tabela24[Consultor Venda],0,0,1)</f>
        <v>PAR - STB - PAP - JOY TELECOM - GABRIELA ALVES DE GODOY</v>
      </c>
      <c r="F359" s="5" t="str">
        <f>_xlfn.XLOOKUP(D359,[1]!Tabela24[Código consultor],[1]!Tabela24[Canal Consultor],0,0,1)</f>
        <v>PAR_DIG</v>
      </c>
      <c r="G359" s="10" t="str">
        <f>_xlfn.XLOOKUP(B359,[1]!Tabela1[[Cidades ]],[1]!Tabela1[Regional],0,0,1)</f>
        <v>Magno</v>
      </c>
      <c r="H359" s="13" t="str">
        <f>_xlfn.XLOOKUP(B359,[1]!Tabela1[[Cidades ]],[1]!Tabela1[Gerente],0,0,1)</f>
        <v>Demais coordenadores</v>
      </c>
    </row>
    <row r="360" spans="1:8" x14ac:dyDescent="0.3">
      <c r="A360" s="4" t="s">
        <v>561</v>
      </c>
      <c r="B360" s="5" t="s">
        <v>32</v>
      </c>
      <c r="C360" s="6">
        <v>45834</v>
      </c>
      <c r="D360" s="7">
        <v>867522</v>
      </c>
      <c r="E360" s="5" t="str">
        <f>_xlfn.XLOOKUP(D360,[1]!Tabela24[Código consultor],[1]!Tabela24[Consultor Venda],0,0,1)</f>
        <v>COM - IGA - SANDRO CESAR MARTINS</v>
      </c>
      <c r="F360" s="5" t="str">
        <f>_xlfn.XLOOKUP(D360,[1]!Tabela24[Código consultor],[1]!Tabela24[Canal Consultor],0,0,1)</f>
        <v>Pap</v>
      </c>
      <c r="G360" s="5" t="str">
        <f>_xlfn.XLOOKUP(B360,[1]!Tabela1[[Cidades ]],[1]!Tabela1[Regional],0,0,1)</f>
        <v>Jean</v>
      </c>
      <c r="H360" s="8" t="str">
        <f>_xlfn.XLOOKUP(B360,[1]!Tabela1[[Cidades ]],[1]!Tabela1[Gerente],0,0,1)</f>
        <v>Demais coordenadores</v>
      </c>
    </row>
    <row r="361" spans="1:8" x14ac:dyDescent="0.3">
      <c r="A361" s="9" t="s">
        <v>562</v>
      </c>
      <c r="B361" s="10" t="s">
        <v>12</v>
      </c>
      <c r="C361" s="11">
        <v>45834</v>
      </c>
      <c r="D361" s="12">
        <v>236724</v>
      </c>
      <c r="E361" s="5" t="str">
        <f>_xlfn.XLOOKUP(D361,[1]!Tabela24[Código consultor],[1]!Tabela24[Consultor Venda],0,0,1)</f>
        <v>COM - PGO - MAISE GABRIELLY BATISTA</v>
      </c>
      <c r="F361" s="5" t="str">
        <f>_xlfn.XLOOKUP(D361,[1]!Tabela24[Código consultor],[1]!Tabela24[Canal Consultor],0,0,1)</f>
        <v>INTERNO</v>
      </c>
      <c r="G361" s="10" t="str">
        <f>_xlfn.XLOOKUP(B361,[1]!Tabela1[[Cidades ]],[1]!Tabela1[Regional],0,0,1)</f>
        <v>Jean</v>
      </c>
      <c r="H361" s="13" t="str">
        <f>_xlfn.XLOOKUP(B361,[1]!Tabela1[[Cidades ]],[1]!Tabela1[Gerente],0,0,1)</f>
        <v>Demais coordenadores</v>
      </c>
    </row>
    <row r="362" spans="1:8" x14ac:dyDescent="0.3">
      <c r="A362" s="4" t="s">
        <v>668</v>
      </c>
      <c r="B362" s="5" t="s">
        <v>59</v>
      </c>
      <c r="C362" s="6">
        <v>45834</v>
      </c>
      <c r="D362" s="7">
        <v>452920</v>
      </c>
      <c r="E362" s="5" t="str">
        <f>_xlfn.XLOOKUP(D362,[1]!Tabela24[Código consultor],[1]!Tabela24[Consultor Venda],0,0,1)</f>
        <v>COM - UMR - GUSTAVO HENRIQUE SPANCERSKI DOS SANTOS</v>
      </c>
      <c r="F362" s="5" t="str">
        <f>_xlfn.XLOOKUP(D362,[1]!Tabela24[Código consultor],[1]!Tabela24[Canal Consultor],0,0,1)</f>
        <v>INTERNO</v>
      </c>
      <c r="G362" s="5" t="str">
        <f>_xlfn.XLOOKUP(B362,[1]!Tabela1[[Cidades ]],[1]!Tabela1[Regional],0,0,1)</f>
        <v>Adilson</v>
      </c>
      <c r="H362" s="8" t="str">
        <f>_xlfn.XLOOKUP(B362,[1]!Tabela1[[Cidades ]],[1]!Tabela1[Gerente],0,0,1)</f>
        <v>Demais coordenadores</v>
      </c>
    </row>
    <row r="363" spans="1:8" x14ac:dyDescent="0.3">
      <c r="A363" s="9" t="s">
        <v>170</v>
      </c>
      <c r="B363" s="10" t="s">
        <v>39</v>
      </c>
      <c r="C363" s="11">
        <v>45834</v>
      </c>
      <c r="D363" s="12">
        <v>882331</v>
      </c>
      <c r="E363" s="5" t="str">
        <f>_xlfn.XLOOKUP(D363,[1]!Tabela24[Código consultor],[1]!Tabela24[Consultor Venda],0,0,1)</f>
        <v>DIG - CCO - SABRINA LUIZA BANDEIRA</v>
      </c>
      <c r="F363" s="5" t="str">
        <f>_xlfn.XLOOKUP(D363,[1]!Tabela24[Código consultor],[1]!Tabela24[Canal Consultor],0,0,1)</f>
        <v>DIGITAL</v>
      </c>
      <c r="G363" s="10" t="str">
        <f>_xlfn.XLOOKUP(B363,[1]!Tabela1[[Cidades ]],[1]!Tabela1[Regional],0,0,1)</f>
        <v>Marcio</v>
      </c>
      <c r="H363" s="13" t="str">
        <f>_xlfn.XLOOKUP(B363,[1]!Tabela1[[Cidades ]],[1]!Tabela1[Gerente],0,0,1)</f>
        <v>Demais coordenadores</v>
      </c>
    </row>
    <row r="364" spans="1:8" x14ac:dyDescent="0.3">
      <c r="A364" s="4" t="s">
        <v>192</v>
      </c>
      <c r="B364" s="5" t="s">
        <v>12</v>
      </c>
      <c r="C364" s="6">
        <v>45834</v>
      </c>
      <c r="D364" s="7">
        <v>377654</v>
      </c>
      <c r="E364" s="5" t="str">
        <f>_xlfn.XLOOKUP(D364,[1]!Tabela24[Código consultor],[1]!Tabela24[Consultor Venda],0,0,1)</f>
        <v>BKO - CCO - JOSE HENRIQUE TOURINHO DE CARVALHO</v>
      </c>
      <c r="F364" s="5" t="str">
        <f>_xlfn.XLOOKUP(D364,[1]!Tabela24[Código consultor],[1]!Tabela24[Canal Consultor],0,0,1)</f>
        <v>ADM Interno</v>
      </c>
      <c r="G364" s="5" t="str">
        <f>_xlfn.XLOOKUP(B364,[1]!Tabela1[[Cidades ]],[1]!Tabela1[Regional],0,0,1)</f>
        <v>Jean</v>
      </c>
      <c r="H364" s="8" t="str">
        <f>_xlfn.XLOOKUP(B364,[1]!Tabela1[[Cidades ]],[1]!Tabela1[Gerente],0,0,1)</f>
        <v>Demais coordenadores</v>
      </c>
    </row>
    <row r="365" spans="1:8" x14ac:dyDescent="0.3">
      <c r="A365" s="9" t="s">
        <v>198</v>
      </c>
      <c r="B365" s="10" t="s">
        <v>24</v>
      </c>
      <c r="C365" s="11">
        <v>45834</v>
      </c>
      <c r="D365" s="12">
        <v>165769</v>
      </c>
      <c r="E365" s="5" t="str">
        <f>_xlfn.XLOOKUP(D365,[1]!Tabela24[Código consultor],[1]!Tabela24[Consultor Venda],0,0,1)</f>
        <v>PAR - PAP - GTI - THALIA SP - THALIA DA SILVA PEREIRA</v>
      </c>
      <c r="F365" s="5" t="str">
        <f>_xlfn.XLOOKUP(D365,[1]!Tabela24[Código consultor],[1]!Tabela24[Canal Consultor],0,0,1)</f>
        <v>PAR</v>
      </c>
      <c r="G365" s="10" t="str">
        <f>_xlfn.XLOOKUP(B365,[1]!Tabela1[[Cidades ]],[1]!Tabela1[Regional],0,0,1)</f>
        <v>Magno</v>
      </c>
      <c r="H365" s="13" t="str">
        <f>_xlfn.XLOOKUP(B365,[1]!Tabela1[[Cidades ]],[1]!Tabela1[Gerente],0,0,1)</f>
        <v>Demais coordenadores</v>
      </c>
    </row>
    <row r="366" spans="1:8" x14ac:dyDescent="0.3">
      <c r="A366" s="4" t="s">
        <v>564</v>
      </c>
      <c r="B366" s="5" t="s">
        <v>19</v>
      </c>
      <c r="C366" s="6">
        <v>45834</v>
      </c>
      <c r="D366" s="7">
        <v>653931</v>
      </c>
      <c r="E366" s="5" t="str">
        <f>_xlfn.XLOOKUP(D366,[1]!Tabela24[Código consultor],[1]!Tabela24[Consultor Venda],0,0,1)</f>
        <v>COM - CHN - SANTIAGO DA SILVA RODRIGUES</v>
      </c>
      <c r="F366" s="5" t="str">
        <f>_xlfn.XLOOKUP(D366,[1]!Tabela24[Código consultor],[1]!Tabela24[Canal Consultor],0,0,1)</f>
        <v>Pap</v>
      </c>
      <c r="G366" s="5" t="str">
        <f>_xlfn.XLOOKUP(B366,[1]!Tabela1[[Cidades ]],[1]!Tabela1[Regional],0,0,1)</f>
        <v>Magno</v>
      </c>
      <c r="H366" s="8" t="str">
        <f>_xlfn.XLOOKUP(B366,[1]!Tabela1[[Cidades ]],[1]!Tabela1[Gerente],0,0,1)</f>
        <v>Demais coordenadores</v>
      </c>
    </row>
    <row r="367" spans="1:8" x14ac:dyDescent="0.3">
      <c r="A367" s="9" t="s">
        <v>203</v>
      </c>
      <c r="B367" s="10" t="s">
        <v>24</v>
      </c>
      <c r="C367" s="11">
        <v>45834</v>
      </c>
      <c r="D367" s="12">
        <v>877649</v>
      </c>
      <c r="E367" s="5" t="str">
        <f>_xlfn.XLOOKUP(D367,[1]!Tabela24[Código consultor],[1]!Tabela24[Consultor Venda],0,0,1)</f>
        <v>COM - SMA - NIKOLAS GUTERRES COMIN</v>
      </c>
      <c r="F367" s="5" t="str">
        <f>_xlfn.XLOOKUP(D367,[1]!Tabela24[Código consultor],[1]!Tabela24[Canal Consultor],0,0,1)</f>
        <v>Pap</v>
      </c>
      <c r="G367" s="10" t="str">
        <f>_xlfn.XLOOKUP(B367,[1]!Tabela1[[Cidades ]],[1]!Tabela1[Regional],0,0,1)</f>
        <v>Magno</v>
      </c>
      <c r="H367" s="13" t="str">
        <f>_xlfn.XLOOKUP(B367,[1]!Tabela1[[Cidades ]],[1]!Tabela1[Gerente],0,0,1)</f>
        <v>Demais coordenadores</v>
      </c>
    </row>
    <row r="368" spans="1:8" x14ac:dyDescent="0.3">
      <c r="A368" s="4" t="s">
        <v>206</v>
      </c>
      <c r="B368" s="5" t="s">
        <v>70</v>
      </c>
      <c r="C368" s="6">
        <v>45834</v>
      </c>
      <c r="D368" s="7">
        <v>738880</v>
      </c>
      <c r="E368" s="5" t="str">
        <f>_xlfn.XLOOKUP(D368,[1]!Tabela24[Código consultor],[1]!Tabela24[Consultor Venda],0,0,1)</f>
        <v>PAR - PAP - MUNDIALE - ANA LUIZA COUTO MATIAS</v>
      </c>
      <c r="F368" s="5" t="str">
        <f>_xlfn.XLOOKUP(D368,[1]!Tabela24[Código consultor],[1]!Tabela24[Canal Consultor],0,0,1)</f>
        <v>PAR_DIG</v>
      </c>
      <c r="G368" s="5" t="str">
        <f>_xlfn.XLOOKUP(B368,[1]!Tabela1[[Cidades ]],[1]!Tabela1[Regional],0,0,1)</f>
        <v>Alisson</v>
      </c>
      <c r="H368" s="8" t="str">
        <f>_xlfn.XLOOKUP(B368,[1]!Tabela1[[Cidades ]],[1]!Tabela1[Gerente],0,0,1)</f>
        <v>Ariana</v>
      </c>
    </row>
    <row r="369" spans="1:8" x14ac:dyDescent="0.3">
      <c r="A369" s="9" t="s">
        <v>222</v>
      </c>
      <c r="B369" s="10" t="s">
        <v>24</v>
      </c>
      <c r="C369" s="11">
        <v>45834</v>
      </c>
      <c r="D369" s="12">
        <v>234173</v>
      </c>
      <c r="E369" s="5" t="str">
        <f>_xlfn.XLOOKUP(D369,[1]!Tabela24[Código consultor],[1]!Tabela24[Consultor Venda],0,0,1)</f>
        <v>PAR - TEC - SMA - MARIZA DE FATIMA DEZORDI - MARIZA DEZORDI</v>
      </c>
      <c r="F369" s="5" t="str">
        <f>_xlfn.XLOOKUP(D369,[1]!Tabela24[Código consultor],[1]!Tabela24[Canal Consultor],0,0,1)</f>
        <v>PAR</v>
      </c>
      <c r="G369" s="10" t="str">
        <f>_xlfn.XLOOKUP(B369,[1]!Tabela1[[Cidades ]],[1]!Tabela1[Regional],0,0,1)</f>
        <v>Magno</v>
      </c>
      <c r="H369" s="13" t="str">
        <f>_xlfn.XLOOKUP(B369,[1]!Tabela1[[Cidades ]],[1]!Tabela1[Gerente],0,0,1)</f>
        <v>Demais coordenadores</v>
      </c>
    </row>
    <row r="370" spans="1:8" x14ac:dyDescent="0.3">
      <c r="A370" s="4" t="s">
        <v>669</v>
      </c>
      <c r="B370" s="5" t="s">
        <v>30</v>
      </c>
      <c r="C370" s="6">
        <v>45834</v>
      </c>
      <c r="D370" s="7">
        <v>197832</v>
      </c>
      <c r="E370" s="5" t="str">
        <f>_xlfn.XLOOKUP(D370,[1]!Tabela24[Código consultor],[1]!Tabela24[Consultor Venda],0,0,1)</f>
        <v>DIG - CCO - RAIANE BERGAMIN</v>
      </c>
      <c r="F370" s="5" t="str">
        <f>_xlfn.XLOOKUP(D370,[1]!Tabela24[Código consultor],[1]!Tabela24[Canal Consultor],0,0,1)</f>
        <v>DIGITAL</v>
      </c>
      <c r="G370" s="5" t="str">
        <f>_xlfn.XLOOKUP(B370,[1]!Tabela1[[Cidades ]],[1]!Tabela1[Regional],0,0,1)</f>
        <v>Jean</v>
      </c>
      <c r="H370" s="8" t="str">
        <f>_xlfn.XLOOKUP(B370,[1]!Tabela1[[Cidades ]],[1]!Tabela1[Gerente],0,0,1)</f>
        <v>Demais coordenadores</v>
      </c>
    </row>
    <row r="371" spans="1:8" x14ac:dyDescent="0.3">
      <c r="A371" s="9" t="s">
        <v>670</v>
      </c>
      <c r="B371" s="10" t="s">
        <v>11</v>
      </c>
      <c r="C371" s="11">
        <v>45834</v>
      </c>
      <c r="D371" s="12">
        <v>861705</v>
      </c>
      <c r="E371" s="5" t="str">
        <f>_xlfn.XLOOKUP(D371,[1]!Tabela24[Código consultor],[1]!Tabela24[Consultor Venda],0,0,1)</f>
        <v>PAR - COM - PAP - TQR - ERIKA DE OLIVEIRA GALLE</v>
      </c>
      <c r="F371" s="5" t="str">
        <f>_xlfn.XLOOKUP(D371,[1]!Tabela24[Código consultor],[1]!Tabela24[Canal Consultor],0,0,1)</f>
        <v>PAR</v>
      </c>
      <c r="G371" s="10" t="str">
        <f>_xlfn.XLOOKUP(B371,[1]!Tabela1[[Cidades ]],[1]!Tabela1[Regional],0,0,1)</f>
        <v>Magno</v>
      </c>
      <c r="H371" s="13" t="str">
        <f>_xlfn.XLOOKUP(B371,[1]!Tabela1[[Cidades ]],[1]!Tabela1[Gerente],0,0,1)</f>
        <v>Demais coordenadores</v>
      </c>
    </row>
    <row r="372" spans="1:8" x14ac:dyDescent="0.3">
      <c r="A372" s="4" t="s">
        <v>246</v>
      </c>
      <c r="B372" s="5" t="s">
        <v>123</v>
      </c>
      <c r="C372" s="6">
        <v>45834</v>
      </c>
      <c r="D372" s="7">
        <v>213687</v>
      </c>
      <c r="E372" s="5" t="str">
        <f>_xlfn.XLOOKUP(D372,[1]!Tabela24[Código consultor],[1]!Tabela24[Consultor Venda],0,0,1)</f>
        <v>COM - ERE - GABRIELE FERREIRA FORTUNATO</v>
      </c>
      <c r="F372" s="5" t="str">
        <f>_xlfn.XLOOKUP(D372,[1]!Tabela24[Código consultor],[1]!Tabela24[Canal Consultor],0,0,1)</f>
        <v>INTERNO</v>
      </c>
      <c r="G372" s="5" t="str">
        <f>_xlfn.XLOOKUP(B372,[1]!Tabela1[[Cidades ]],[1]!Tabela1[Regional],0,0,1)</f>
        <v>Alisson</v>
      </c>
      <c r="H372" s="8" t="str">
        <f>_xlfn.XLOOKUP(B372,[1]!Tabela1[[Cidades ]],[1]!Tabela1[Gerente],0,0,1)</f>
        <v>Karine</v>
      </c>
    </row>
    <row r="373" spans="1:8" x14ac:dyDescent="0.3">
      <c r="A373" s="9" t="s">
        <v>251</v>
      </c>
      <c r="B373" s="10" t="s">
        <v>23</v>
      </c>
      <c r="C373" s="11">
        <v>45834</v>
      </c>
      <c r="D373" s="12">
        <v>683349</v>
      </c>
      <c r="E373" s="5" t="str">
        <f>_xlfn.XLOOKUP(D373,[1]!Tabela24[Código consultor],[1]!Tabela24[Consultor Venda],0,0,1)</f>
        <v>DIG - CCO - EVELLIN SALOA MAIA DA CONCEICAO</v>
      </c>
      <c r="F373" s="5" t="str">
        <f>_xlfn.XLOOKUP(D373,[1]!Tabela24[Código consultor],[1]!Tabela24[Canal Consultor],0,0,1)</f>
        <v>DIGITAL</v>
      </c>
      <c r="G373" s="10" t="str">
        <f>_xlfn.XLOOKUP(B373,[1]!Tabela1[[Cidades ]],[1]!Tabela1[Regional],0,0,1)</f>
        <v>Magno</v>
      </c>
      <c r="H373" s="13" t="str">
        <f>_xlfn.XLOOKUP(B373,[1]!Tabela1[[Cidades ]],[1]!Tabela1[Gerente],0,0,1)</f>
        <v>Demais coordenadores</v>
      </c>
    </row>
    <row r="374" spans="1:8" x14ac:dyDescent="0.3">
      <c r="A374" s="4" t="s">
        <v>566</v>
      </c>
      <c r="B374" s="5" t="s">
        <v>54</v>
      </c>
      <c r="C374" s="6">
        <v>45834</v>
      </c>
      <c r="D374" s="7">
        <v>399149</v>
      </c>
      <c r="E374" s="5" t="str">
        <f>_xlfn.XLOOKUP(D374,[1]!Tabela24[Código consultor],[1]!Tabela24[Consultor Venda],0,0,1)</f>
        <v>PAR - ADM - SUV - IDEAL - LUANA CRISTINA MACHADO</v>
      </c>
      <c r="F374" s="5" t="str">
        <f>_xlfn.XLOOKUP(D374,[1]!Tabela24[Código consultor],[1]!Tabela24[Canal Consultor],0,0,1)</f>
        <v>PAR</v>
      </c>
      <c r="G374" s="5" t="str">
        <f>_xlfn.XLOOKUP(B374,[1]!Tabela1[[Cidades ]],[1]!Tabela1[Regional],0,0,1)</f>
        <v>Alisson</v>
      </c>
      <c r="H374" s="8" t="str">
        <f>_xlfn.XLOOKUP(B374,[1]!Tabela1[[Cidades ]],[1]!Tabela1[Gerente],0,0,1)</f>
        <v>Tatiane</v>
      </c>
    </row>
    <row r="375" spans="1:8" x14ac:dyDescent="0.3">
      <c r="A375" s="9" t="s">
        <v>256</v>
      </c>
      <c r="B375" s="10" t="s">
        <v>23</v>
      </c>
      <c r="C375" s="11">
        <v>45834</v>
      </c>
      <c r="D375" s="12">
        <v>690850</v>
      </c>
      <c r="E375" s="5" t="str">
        <f>_xlfn.XLOOKUP(D375,[1]!Tabela24[Código consultor],[1]!Tabela24[Consultor Venda],0,0,1)</f>
        <v>COM - CAN - GABRIELI MENDONCA DA SILVA</v>
      </c>
      <c r="F375" s="5" t="str">
        <f>_xlfn.XLOOKUP(D375,[1]!Tabela24[Código consultor],[1]!Tabela24[Canal Consultor],0,0,1)</f>
        <v>INTERNO</v>
      </c>
      <c r="G375" s="10" t="str">
        <f>_xlfn.XLOOKUP(B375,[1]!Tabela1[[Cidades ]],[1]!Tabela1[Regional],0,0,1)</f>
        <v>Magno</v>
      </c>
      <c r="H375" s="13" t="str">
        <f>_xlfn.XLOOKUP(B375,[1]!Tabela1[[Cidades ]],[1]!Tabela1[Gerente],0,0,1)</f>
        <v>Demais coordenadores</v>
      </c>
    </row>
    <row r="376" spans="1:8" x14ac:dyDescent="0.3">
      <c r="A376" s="4" t="s">
        <v>264</v>
      </c>
      <c r="B376" s="5" t="s">
        <v>60</v>
      </c>
      <c r="C376" s="6">
        <v>45834</v>
      </c>
      <c r="D376" s="7">
        <v>878848</v>
      </c>
      <c r="E376" s="5" t="str">
        <f>_xlfn.XLOOKUP(D376,[1]!Tabela24[Código consultor],[1]!Tabela24[Consultor Venda],0,0,1)</f>
        <v>COM - CHN - MATHEUS ALFREDO MACEDO</v>
      </c>
      <c r="F376" s="5" t="str">
        <f>_xlfn.XLOOKUP(D376,[1]!Tabela24[Código consultor],[1]!Tabela24[Canal Consultor],0,0,1)</f>
        <v>Pap</v>
      </c>
      <c r="G376" s="5" t="str">
        <f>_xlfn.XLOOKUP(B376,[1]!Tabela1[[Cidades ]],[1]!Tabela1[Regional],0,0,1)</f>
        <v>Magno</v>
      </c>
      <c r="H376" s="8" t="str">
        <f>_xlfn.XLOOKUP(B376,[1]!Tabela1[[Cidades ]],[1]!Tabela1[Gerente],0,0,1)</f>
        <v>Demais coordenadores</v>
      </c>
    </row>
    <row r="377" spans="1:8" x14ac:dyDescent="0.3">
      <c r="A377" s="9" t="s">
        <v>567</v>
      </c>
      <c r="B377" s="10" t="s">
        <v>19</v>
      </c>
      <c r="C377" s="11">
        <v>45834</v>
      </c>
      <c r="D377" s="12">
        <v>600710</v>
      </c>
      <c r="E377" s="5" t="str">
        <f>_xlfn.XLOOKUP(D377,[1]!Tabela24[Código consultor],[1]!Tabela24[Consultor Venda],0,0,1)</f>
        <v>DIG - CCO - BRUNA BALBINOTTI</v>
      </c>
      <c r="F377" s="5" t="str">
        <f>_xlfn.XLOOKUP(D377,[1]!Tabela24[Código consultor],[1]!Tabela24[Canal Consultor],0,0,1)</f>
        <v>DIGITAL</v>
      </c>
      <c r="G377" s="10" t="str">
        <f>_xlfn.XLOOKUP(B377,[1]!Tabela1[[Cidades ]],[1]!Tabela1[Regional],0,0,1)</f>
        <v>Magno</v>
      </c>
      <c r="H377" s="13" t="str">
        <f>_xlfn.XLOOKUP(B377,[1]!Tabela1[[Cidades ]],[1]!Tabela1[Gerente],0,0,1)</f>
        <v>Demais coordenadores</v>
      </c>
    </row>
    <row r="378" spans="1:8" x14ac:dyDescent="0.3">
      <c r="A378" s="4" t="s">
        <v>568</v>
      </c>
      <c r="B378" s="5" t="s">
        <v>20</v>
      </c>
      <c r="C378" s="6">
        <v>45834</v>
      </c>
      <c r="D378" s="7">
        <v>233138</v>
      </c>
      <c r="E378" s="5" t="str">
        <f>_xlfn.XLOOKUP(D378,[1]!Tabela24[Código consultor],[1]!Tabela24[Consultor Venda],0,0,1)</f>
        <v>PAR - INTE - GRP - MOBILE HD - ALINE KARNOSKI</v>
      </c>
      <c r="F378" s="5" t="str">
        <f>_xlfn.XLOOKUP(D378,[1]!Tabela24[Código consultor],[1]!Tabela24[Canal Consultor],0,0,1)</f>
        <v>PAR</v>
      </c>
      <c r="G378" s="5" t="str">
        <f>_xlfn.XLOOKUP(B378,[1]!Tabela1[[Cidades ]],[1]!Tabela1[Regional],0,0,1)</f>
        <v>Maycon</v>
      </c>
      <c r="H378" s="8" t="str">
        <f>_xlfn.XLOOKUP(B378,[1]!Tabela1[[Cidades ]],[1]!Tabela1[Gerente],0,0,1)</f>
        <v>Demais coordenadores</v>
      </c>
    </row>
    <row r="379" spans="1:8" x14ac:dyDescent="0.3">
      <c r="A379" s="9" t="s">
        <v>671</v>
      </c>
      <c r="B379" s="10" t="s">
        <v>111</v>
      </c>
      <c r="C379" s="11">
        <v>45834</v>
      </c>
      <c r="D379" s="12">
        <v>738880</v>
      </c>
      <c r="E379" s="5" t="str">
        <f>_xlfn.XLOOKUP(D379,[1]!Tabela24[Código consultor],[1]!Tabela24[Consultor Venda],0,0,1)</f>
        <v>PAR - PAP - MUNDIALE - ANA LUIZA COUTO MATIAS</v>
      </c>
      <c r="F379" s="5" t="str">
        <f>_xlfn.XLOOKUP(D379,[1]!Tabela24[Código consultor],[1]!Tabela24[Canal Consultor],0,0,1)</f>
        <v>PAR_DIG</v>
      </c>
      <c r="G379" s="10" t="str">
        <f>_xlfn.XLOOKUP(B379,[1]!Tabela1[[Cidades ]],[1]!Tabela1[Regional],0,0,1)</f>
        <v>Maycon</v>
      </c>
      <c r="H379" s="13" t="str">
        <f>_xlfn.XLOOKUP(B379,[1]!Tabela1[[Cidades ]],[1]!Tabela1[Gerente],0,0,1)</f>
        <v>Demais coordenadores</v>
      </c>
    </row>
    <row r="380" spans="1:8" x14ac:dyDescent="0.3">
      <c r="A380" s="4" t="s">
        <v>569</v>
      </c>
      <c r="B380" s="5" t="s">
        <v>31</v>
      </c>
      <c r="C380" s="6">
        <v>45834</v>
      </c>
      <c r="D380" s="7">
        <v>233138</v>
      </c>
      <c r="E380" s="5" t="str">
        <f>_xlfn.XLOOKUP(D380,[1]!Tabela24[Código consultor],[1]!Tabela24[Consultor Venda],0,0,1)</f>
        <v>PAR - INTE - GRP - MOBILE HD - ALINE KARNOSKI</v>
      </c>
      <c r="F380" s="5" t="str">
        <f>_xlfn.XLOOKUP(D380,[1]!Tabela24[Código consultor],[1]!Tabela24[Canal Consultor],0,0,1)</f>
        <v>PAR</v>
      </c>
      <c r="G380" s="5" t="str">
        <f>_xlfn.XLOOKUP(B380,[1]!Tabela1[[Cidades ]],[1]!Tabela1[Regional],0,0,1)</f>
        <v>Maycon</v>
      </c>
      <c r="H380" s="8" t="str">
        <f>_xlfn.XLOOKUP(B380,[1]!Tabela1[[Cidades ]],[1]!Tabela1[Gerente],0,0,1)</f>
        <v>Demais coordenadores</v>
      </c>
    </row>
    <row r="381" spans="1:8" x14ac:dyDescent="0.3">
      <c r="A381" s="9" t="s">
        <v>672</v>
      </c>
      <c r="B381" s="10" t="s">
        <v>53</v>
      </c>
      <c r="C381" s="11">
        <v>45834</v>
      </c>
      <c r="D381" s="12">
        <v>788656</v>
      </c>
      <c r="E381" s="5" t="str">
        <f>_xlfn.XLOOKUP(D381,[1]!Tabela24[Código consultor],[1]!Tabela24[Consultor Venda],0,0,1)</f>
        <v>PAR - STB - PAP - JOY TELECOM - GABRIELA ALVES DE GODOY</v>
      </c>
      <c r="F381" s="5" t="str">
        <f>_xlfn.XLOOKUP(D381,[1]!Tabela24[Código consultor],[1]!Tabela24[Canal Consultor],0,0,1)</f>
        <v>PAR_DIG</v>
      </c>
      <c r="G381" s="10" t="str">
        <f>_xlfn.XLOOKUP(B381,[1]!Tabela1[[Cidades ]],[1]!Tabela1[Regional],0,0,1)</f>
        <v>Adilson</v>
      </c>
      <c r="H381" s="13" t="str">
        <f>_xlfn.XLOOKUP(B381,[1]!Tabela1[[Cidades ]],[1]!Tabela1[Gerente],0,0,1)</f>
        <v>Demais coordenadores</v>
      </c>
    </row>
    <row r="382" spans="1:8" x14ac:dyDescent="0.3">
      <c r="A382" s="4" t="s">
        <v>195</v>
      </c>
      <c r="B382" s="5" t="s">
        <v>46</v>
      </c>
      <c r="C382" s="6">
        <v>45834</v>
      </c>
      <c r="D382" s="7">
        <v>788656</v>
      </c>
      <c r="E382" s="5" t="str">
        <f>_xlfn.XLOOKUP(D382,[1]!Tabela24[Código consultor],[1]!Tabela24[Consultor Venda],0,0,1)</f>
        <v>PAR - STB - PAP - JOY TELECOM - GABRIELA ALVES DE GODOY</v>
      </c>
      <c r="F382" s="5" t="str">
        <f>_xlfn.XLOOKUP(D382,[1]!Tabela24[Código consultor],[1]!Tabela24[Canal Consultor],0,0,1)</f>
        <v>PAR_DIG</v>
      </c>
      <c r="G382" s="5" t="str">
        <f>_xlfn.XLOOKUP(B382,[1]!Tabela1[[Cidades ]],[1]!Tabela1[Regional],0,0,1)</f>
        <v>Magno</v>
      </c>
      <c r="H382" s="8" t="str">
        <f>_xlfn.XLOOKUP(B382,[1]!Tabela1[[Cidades ]],[1]!Tabela1[Gerente],0,0,1)</f>
        <v>Demais coordenadores</v>
      </c>
    </row>
    <row r="383" spans="1:8" x14ac:dyDescent="0.3">
      <c r="A383" s="9" t="s">
        <v>673</v>
      </c>
      <c r="B383" s="10" t="s">
        <v>74</v>
      </c>
      <c r="C383" s="11">
        <v>45834</v>
      </c>
      <c r="D383" s="12">
        <v>233138</v>
      </c>
      <c r="E383" s="5" t="str">
        <f>_xlfn.XLOOKUP(D383,[1]!Tabela24[Código consultor],[1]!Tabela24[Consultor Venda],0,0,1)</f>
        <v>PAR - INTE - GRP - MOBILE HD - ALINE KARNOSKI</v>
      </c>
      <c r="F383" s="5" t="str">
        <f>_xlfn.XLOOKUP(D383,[1]!Tabela24[Código consultor],[1]!Tabela24[Canal Consultor],0,0,1)</f>
        <v>PAR</v>
      </c>
      <c r="G383" s="10" t="str">
        <f>_xlfn.XLOOKUP(B383,[1]!Tabela1[[Cidades ]],[1]!Tabela1[Regional],0,0,1)</f>
        <v>Jean</v>
      </c>
      <c r="H383" s="13" t="str">
        <f>_xlfn.XLOOKUP(B383,[1]!Tabela1[[Cidades ]],[1]!Tabela1[Gerente],0,0,1)</f>
        <v>Demais coordenadores</v>
      </c>
    </row>
    <row r="384" spans="1:8" x14ac:dyDescent="0.3">
      <c r="A384" s="4" t="s">
        <v>275</v>
      </c>
      <c r="B384" s="5" t="s">
        <v>19</v>
      </c>
      <c r="C384" s="6">
        <v>45834</v>
      </c>
      <c r="D384" s="7">
        <v>725067</v>
      </c>
      <c r="E384" s="5" t="str">
        <f>_xlfn.XLOOKUP(D384,[1]!Tabela24[Código consultor],[1]!Tabela24[Consultor Venda],0,0,1)</f>
        <v>COM - CHN - MICHELY SANTOS DOS SANTOS</v>
      </c>
      <c r="F384" s="5" t="str">
        <f>_xlfn.XLOOKUP(D384,[1]!Tabela24[Código consultor],[1]!Tabela24[Canal Consultor],0,0,1)</f>
        <v>Pap</v>
      </c>
      <c r="G384" s="5" t="str">
        <f>_xlfn.XLOOKUP(B384,[1]!Tabela1[[Cidades ]],[1]!Tabela1[Regional],0,0,1)</f>
        <v>Magno</v>
      </c>
      <c r="H384" s="8" t="str">
        <f>_xlfn.XLOOKUP(B384,[1]!Tabela1[[Cidades ]],[1]!Tabela1[Gerente],0,0,1)</f>
        <v>Demais coordenadores</v>
      </c>
    </row>
    <row r="385" spans="1:8" x14ac:dyDescent="0.3">
      <c r="A385" s="9" t="s">
        <v>674</v>
      </c>
      <c r="B385" s="10" t="s">
        <v>22</v>
      </c>
      <c r="C385" s="11">
        <v>45834</v>
      </c>
      <c r="D385" s="12">
        <v>652640</v>
      </c>
      <c r="E385" s="5" t="str">
        <f>_xlfn.XLOOKUP(D385,[1]!Tabela24[Código consultor],[1]!Tabela24[Consultor Venda],0,0,1)</f>
        <v>COM - CAN - ANDRIELE DA SILVA RANGEL</v>
      </c>
      <c r="F385" s="5" t="str">
        <f>_xlfn.XLOOKUP(D385,[1]!Tabela24[Código consultor],[1]!Tabela24[Canal Consultor],0,0,1)</f>
        <v>Pap</v>
      </c>
      <c r="G385" s="10" t="str">
        <f>_xlfn.XLOOKUP(B385,[1]!Tabela1[[Cidades ]],[1]!Tabela1[Regional],0,0,1)</f>
        <v>Magno</v>
      </c>
      <c r="H385" s="13" t="str">
        <f>_xlfn.XLOOKUP(B385,[1]!Tabela1[[Cidades ]],[1]!Tabela1[Gerente],0,0,1)</f>
        <v>Demais coordenadores</v>
      </c>
    </row>
    <row r="386" spans="1:8" x14ac:dyDescent="0.3">
      <c r="A386" s="4" t="s">
        <v>675</v>
      </c>
      <c r="B386" s="5" t="s">
        <v>13</v>
      </c>
      <c r="C386" s="6">
        <v>45834</v>
      </c>
      <c r="D386" s="7">
        <v>233138</v>
      </c>
      <c r="E386" s="5" t="str">
        <f>_xlfn.XLOOKUP(D386,[1]!Tabela24[Código consultor],[1]!Tabela24[Consultor Venda],0,0,1)</f>
        <v>PAR - INTE - GRP - MOBILE HD - ALINE KARNOSKI</v>
      </c>
      <c r="F386" s="5" t="str">
        <f>_xlfn.XLOOKUP(D386,[1]!Tabela24[Código consultor],[1]!Tabela24[Canal Consultor],0,0,1)</f>
        <v>PAR</v>
      </c>
      <c r="G386" s="5" t="str">
        <f>_xlfn.XLOOKUP(B386,[1]!Tabela1[[Cidades ]],[1]!Tabela1[Regional],0,0,1)</f>
        <v>Alisson</v>
      </c>
      <c r="H386" s="8" t="str">
        <f>_xlfn.XLOOKUP(B386,[1]!Tabela1[[Cidades ]],[1]!Tabela1[Gerente],0,0,1)</f>
        <v>Ariana</v>
      </c>
    </row>
    <row r="387" spans="1:8" x14ac:dyDescent="0.3">
      <c r="A387" s="9" t="s">
        <v>570</v>
      </c>
      <c r="B387" s="10" t="s">
        <v>45</v>
      </c>
      <c r="C387" s="11">
        <v>45834</v>
      </c>
      <c r="D387" s="12">
        <v>881485</v>
      </c>
      <c r="E387" s="5" t="str">
        <f>_xlfn.XLOOKUP(D387,[1]!Tabela24[Código consultor],[1]!Tabela24[Consultor Venda],0,0,1)</f>
        <v>COM - SOC - ERICSSON CUNHA DE PAULA ANHAIA</v>
      </c>
      <c r="F387" s="5" t="str">
        <f>_xlfn.XLOOKUP(D387,[1]!Tabela24[Código consultor],[1]!Tabela24[Canal Consultor],0,0,1)</f>
        <v>Pap</v>
      </c>
      <c r="G387" s="10" t="str">
        <f>_xlfn.XLOOKUP(B387,[1]!Tabela1[[Cidades ]],[1]!Tabela1[Regional],0,0,1)</f>
        <v>Jean</v>
      </c>
      <c r="H387" s="13" t="str">
        <f>_xlfn.XLOOKUP(B387,[1]!Tabela1[[Cidades ]],[1]!Tabela1[Gerente],0,0,1)</f>
        <v>Demais coordenadores</v>
      </c>
    </row>
    <row r="388" spans="1:8" x14ac:dyDescent="0.3">
      <c r="A388" s="4" t="s">
        <v>571</v>
      </c>
      <c r="B388" s="5" t="s">
        <v>31</v>
      </c>
      <c r="C388" s="6">
        <v>45834</v>
      </c>
      <c r="D388" s="7">
        <v>788656</v>
      </c>
      <c r="E388" s="5" t="str">
        <f>_xlfn.XLOOKUP(D388,[1]!Tabela24[Código consultor],[1]!Tabela24[Consultor Venda],0,0,1)</f>
        <v>PAR - STB - PAP - JOY TELECOM - GABRIELA ALVES DE GODOY</v>
      </c>
      <c r="F388" s="5" t="str">
        <f>_xlfn.XLOOKUP(D388,[1]!Tabela24[Código consultor],[1]!Tabela24[Canal Consultor],0,0,1)</f>
        <v>PAR_DIG</v>
      </c>
      <c r="G388" s="5" t="str">
        <f>_xlfn.XLOOKUP(B388,[1]!Tabela1[[Cidades ]],[1]!Tabela1[Regional],0,0,1)</f>
        <v>Maycon</v>
      </c>
      <c r="H388" s="8" t="str">
        <f>_xlfn.XLOOKUP(B388,[1]!Tabela1[[Cidades ]],[1]!Tabela1[Gerente],0,0,1)</f>
        <v>Demais coordenadores</v>
      </c>
    </row>
    <row r="389" spans="1:8" x14ac:dyDescent="0.3">
      <c r="A389" s="9" t="s">
        <v>676</v>
      </c>
      <c r="B389" s="10" t="s">
        <v>30</v>
      </c>
      <c r="C389" s="11">
        <v>45834</v>
      </c>
      <c r="D389" s="12">
        <v>866752</v>
      </c>
      <c r="E389" s="5" t="str">
        <f>_xlfn.XLOOKUP(D389,[1]!Tabela24[Código consultor],[1]!Tabela24[Consultor Venda],0,0,1)</f>
        <v>COM - IGA - JULIANA CRISTINA ALVES DOS SANTOS</v>
      </c>
      <c r="F389" s="5" t="str">
        <f>_xlfn.XLOOKUP(D389,[1]!Tabela24[Código consultor],[1]!Tabela24[Canal Consultor],0,0,1)</f>
        <v>INTERNO</v>
      </c>
      <c r="G389" s="10" t="str">
        <f>_xlfn.XLOOKUP(B389,[1]!Tabela1[[Cidades ]],[1]!Tabela1[Regional],0,0,1)</f>
        <v>Jean</v>
      </c>
      <c r="H389" s="13" t="str">
        <f>_xlfn.XLOOKUP(B389,[1]!Tabela1[[Cidades ]],[1]!Tabela1[Gerente],0,0,1)</f>
        <v>Demais coordenadores</v>
      </c>
    </row>
    <row r="390" spans="1:8" x14ac:dyDescent="0.3">
      <c r="A390" s="4" t="s">
        <v>573</v>
      </c>
      <c r="B390" s="5" t="s">
        <v>22</v>
      </c>
      <c r="C390" s="6">
        <v>45834</v>
      </c>
      <c r="D390" s="7">
        <v>878848</v>
      </c>
      <c r="E390" s="5" t="str">
        <f>_xlfn.XLOOKUP(D390,[1]!Tabela24[Código consultor],[1]!Tabela24[Consultor Venda],0,0,1)</f>
        <v>COM - CHN - MATHEUS ALFREDO MACEDO</v>
      </c>
      <c r="F390" s="5" t="str">
        <f>_xlfn.XLOOKUP(D390,[1]!Tabela24[Código consultor],[1]!Tabela24[Canal Consultor],0,0,1)</f>
        <v>Pap</v>
      </c>
      <c r="G390" s="5" t="str">
        <f>_xlfn.XLOOKUP(B390,[1]!Tabela1[[Cidades ]],[1]!Tabela1[Regional],0,0,1)</f>
        <v>Magno</v>
      </c>
      <c r="H390" s="8" t="str">
        <f>_xlfn.XLOOKUP(B390,[1]!Tabela1[[Cidades ]],[1]!Tabela1[Gerente],0,0,1)</f>
        <v>Demais coordenadores</v>
      </c>
    </row>
    <row r="391" spans="1:8" x14ac:dyDescent="0.3">
      <c r="A391" s="9" t="s">
        <v>677</v>
      </c>
      <c r="B391" s="10" t="s">
        <v>22</v>
      </c>
      <c r="C391" s="11">
        <v>45834</v>
      </c>
      <c r="D391" s="12">
        <v>683349</v>
      </c>
      <c r="E391" s="5" t="str">
        <f>_xlfn.XLOOKUP(D391,[1]!Tabela24[Código consultor],[1]!Tabela24[Consultor Venda],0,0,1)</f>
        <v>DIG - CCO - EVELLIN SALOA MAIA DA CONCEICAO</v>
      </c>
      <c r="F391" s="5" t="str">
        <f>_xlfn.XLOOKUP(D391,[1]!Tabela24[Código consultor],[1]!Tabela24[Canal Consultor],0,0,1)</f>
        <v>DIGITAL</v>
      </c>
      <c r="G391" s="10" t="str">
        <f>_xlfn.XLOOKUP(B391,[1]!Tabela1[[Cidades ]],[1]!Tabela1[Regional],0,0,1)</f>
        <v>Magno</v>
      </c>
      <c r="H391" s="13" t="str">
        <f>_xlfn.XLOOKUP(B391,[1]!Tabela1[[Cidades ]],[1]!Tabela1[Gerente],0,0,1)</f>
        <v>Demais coordenadores</v>
      </c>
    </row>
    <row r="392" spans="1:8" x14ac:dyDescent="0.3">
      <c r="A392" s="4" t="s">
        <v>574</v>
      </c>
      <c r="B392" s="5" t="s">
        <v>10</v>
      </c>
      <c r="C392" s="6">
        <v>45834</v>
      </c>
      <c r="D392" s="7">
        <v>233138</v>
      </c>
      <c r="E392" s="5" t="str">
        <f>_xlfn.XLOOKUP(D392,[1]!Tabela24[Código consultor],[1]!Tabela24[Consultor Venda],0,0,1)</f>
        <v>PAR - INTE - GRP - MOBILE HD - ALINE KARNOSKI</v>
      </c>
      <c r="F392" s="5" t="str">
        <f>_xlfn.XLOOKUP(D392,[1]!Tabela24[Código consultor],[1]!Tabela24[Canal Consultor],0,0,1)</f>
        <v>PAR</v>
      </c>
      <c r="G392" s="5" t="str">
        <f>_xlfn.XLOOKUP(B392,[1]!Tabela1[[Cidades ]],[1]!Tabela1[Regional],0,0,1)</f>
        <v>Jean</v>
      </c>
      <c r="H392" s="8" t="str">
        <f>_xlfn.XLOOKUP(B392,[1]!Tabela1[[Cidades ]],[1]!Tabela1[Gerente],0,0,1)</f>
        <v>Demais coordenadores</v>
      </c>
    </row>
    <row r="393" spans="1:8" x14ac:dyDescent="0.3">
      <c r="A393" s="9" t="s">
        <v>280</v>
      </c>
      <c r="B393" s="10" t="s">
        <v>13</v>
      </c>
      <c r="C393" s="11">
        <v>45834</v>
      </c>
      <c r="D393" s="12">
        <v>883815</v>
      </c>
      <c r="E393" s="5" t="str">
        <f>_xlfn.XLOOKUP(D393,[1]!Tabela24[Código consultor],[1]!Tabela24[Consultor Venda],0,0,1)</f>
        <v>COM - PAS - HIAGO LANDIM TELES</v>
      </c>
      <c r="F393" s="5" t="str">
        <f>_xlfn.XLOOKUP(D393,[1]!Tabela24[Código consultor],[1]!Tabela24[Canal Consultor],0,0,1)</f>
        <v>INTERNO</v>
      </c>
      <c r="G393" s="10" t="str">
        <f>_xlfn.XLOOKUP(B393,[1]!Tabela1[[Cidades ]],[1]!Tabela1[Regional],0,0,1)</f>
        <v>Alisson</v>
      </c>
      <c r="H393" s="13" t="str">
        <f>_xlfn.XLOOKUP(B393,[1]!Tabela1[[Cidades ]],[1]!Tabela1[Gerente],0,0,1)</f>
        <v>Ariana</v>
      </c>
    </row>
    <row r="394" spans="1:8" x14ac:dyDescent="0.3">
      <c r="A394" s="4" t="s">
        <v>678</v>
      </c>
      <c r="B394" s="5" t="s">
        <v>79</v>
      </c>
      <c r="C394" s="6">
        <v>45834</v>
      </c>
      <c r="D394" s="7">
        <v>361</v>
      </c>
      <c r="E394" s="5" t="str">
        <f>_xlfn.XLOOKUP(D394,[1]!Tabela24[Código consultor],[1]!Tabela24[Consultor Venda],0,0,1)</f>
        <v>COM - LVH - DANIELA DE ALMEIDA</v>
      </c>
      <c r="F394" s="5" t="str">
        <f>_xlfn.XLOOKUP(D394,[1]!Tabela24[Código consultor],[1]!Tabela24[Canal Consultor],0,0,1)</f>
        <v>INTERNO</v>
      </c>
      <c r="G394" s="5" t="str">
        <f>_xlfn.XLOOKUP(B394,[1]!Tabela1[[Cidades ]],[1]!Tabela1[Regional],0,0,1)</f>
        <v>Alisson</v>
      </c>
      <c r="H394" s="8" t="str">
        <f>_xlfn.XLOOKUP(B394,[1]!Tabela1[[Cidades ]],[1]!Tabela1[Gerente],0,0,1)</f>
        <v>Tatiane</v>
      </c>
    </row>
    <row r="395" spans="1:8" x14ac:dyDescent="0.3">
      <c r="A395" s="9" t="s">
        <v>679</v>
      </c>
      <c r="B395" s="10" t="s">
        <v>31</v>
      </c>
      <c r="C395" s="11">
        <v>45834</v>
      </c>
      <c r="D395" s="12">
        <v>780612</v>
      </c>
      <c r="E395" s="5" t="str">
        <f>_xlfn.XLOOKUP(D395,[1]!Tabela24[Código consultor],[1]!Tabela24[Consultor Venda],0,0,1)</f>
        <v>PAR - PAP - MUNDIALE - Luana Gabriela da Silva Moura</v>
      </c>
      <c r="F395" s="5" t="str">
        <f>_xlfn.XLOOKUP(D395,[1]!Tabela24[Código consultor],[1]!Tabela24[Canal Consultor],0,0,1)</f>
        <v>PAR_DIG</v>
      </c>
      <c r="G395" s="10" t="str">
        <f>_xlfn.XLOOKUP(B395,[1]!Tabela1[[Cidades ]],[1]!Tabela1[Regional],0,0,1)</f>
        <v>Maycon</v>
      </c>
      <c r="H395" s="13" t="str">
        <f>_xlfn.XLOOKUP(B395,[1]!Tabela1[[Cidades ]],[1]!Tabela1[Gerente],0,0,1)</f>
        <v>Demais coordenadores</v>
      </c>
    </row>
    <row r="396" spans="1:8" x14ac:dyDescent="0.3">
      <c r="A396" s="4" t="s">
        <v>576</v>
      </c>
      <c r="B396" s="5" t="s">
        <v>97</v>
      </c>
      <c r="C396" s="6">
        <v>45834</v>
      </c>
      <c r="D396" s="7">
        <v>794227</v>
      </c>
      <c r="E396" s="5" t="str">
        <f>_xlfn.XLOOKUP(D396,[1]!Tabela24[Código consultor],[1]!Tabela24[Consultor Venda],0,0,1)</f>
        <v>PAR - PAP - TECH PERFORMANCE - Dario de Oliveira</v>
      </c>
      <c r="F396" s="5" t="str">
        <f>_xlfn.XLOOKUP(D396,[1]!Tabela24[Código consultor],[1]!Tabela24[Canal Consultor],0,0,1)</f>
        <v>Par</v>
      </c>
      <c r="G396" s="5" t="str">
        <f>_xlfn.XLOOKUP(B396,[1]!Tabela1[[Cidades ]],[1]!Tabela1[Regional],0,0,1)</f>
        <v>Alisson</v>
      </c>
      <c r="H396" s="8" t="str">
        <f>_xlfn.XLOOKUP(B396,[1]!Tabela1[[Cidades ]],[1]!Tabela1[Gerente],0,0,1)</f>
        <v>Helena</v>
      </c>
    </row>
    <row r="397" spans="1:8" x14ac:dyDescent="0.3">
      <c r="A397" s="9" t="s">
        <v>680</v>
      </c>
      <c r="B397" s="10" t="s">
        <v>23</v>
      </c>
      <c r="C397" s="11">
        <v>45834</v>
      </c>
      <c r="D397" s="12">
        <v>861705</v>
      </c>
      <c r="E397" s="5" t="str">
        <f>_xlfn.XLOOKUP(D397,[1]!Tabela24[Código consultor],[1]!Tabela24[Consultor Venda],0,0,1)</f>
        <v>PAR - COM - PAP - TQR - ERIKA DE OLIVEIRA GALLE</v>
      </c>
      <c r="F397" s="5" t="str">
        <f>_xlfn.XLOOKUP(D397,[1]!Tabela24[Código consultor],[1]!Tabela24[Canal Consultor],0,0,1)</f>
        <v>PAR</v>
      </c>
      <c r="G397" s="10" t="str">
        <f>_xlfn.XLOOKUP(B397,[1]!Tabela1[[Cidades ]],[1]!Tabela1[Regional],0,0,1)</f>
        <v>Magno</v>
      </c>
      <c r="H397" s="13" t="str">
        <f>_xlfn.XLOOKUP(B397,[1]!Tabela1[[Cidades ]],[1]!Tabela1[Gerente],0,0,1)</f>
        <v>Demais coordenadores</v>
      </c>
    </row>
    <row r="398" spans="1:8" x14ac:dyDescent="0.3">
      <c r="A398" s="4" t="s">
        <v>681</v>
      </c>
      <c r="B398" s="5" t="s">
        <v>39</v>
      </c>
      <c r="C398" s="6">
        <v>45834</v>
      </c>
      <c r="D398" s="7">
        <v>788656</v>
      </c>
      <c r="E398" s="5" t="str">
        <f>_xlfn.XLOOKUP(D398,[1]!Tabela24[Código consultor],[1]!Tabela24[Consultor Venda],0,0,1)</f>
        <v>PAR - STB - PAP - JOY TELECOM - GABRIELA ALVES DE GODOY</v>
      </c>
      <c r="F398" s="5" t="str">
        <f>_xlfn.XLOOKUP(D398,[1]!Tabela24[Código consultor],[1]!Tabela24[Canal Consultor],0,0,1)</f>
        <v>PAR_DIG</v>
      </c>
      <c r="G398" s="5" t="str">
        <f>_xlfn.XLOOKUP(B398,[1]!Tabela1[[Cidades ]],[1]!Tabela1[Regional],0,0,1)</f>
        <v>Marcio</v>
      </c>
      <c r="H398" s="8" t="str">
        <f>_xlfn.XLOOKUP(B398,[1]!Tabela1[[Cidades ]],[1]!Tabela1[Gerente],0,0,1)</f>
        <v>Demais coordenadores</v>
      </c>
    </row>
    <row r="399" spans="1:8" x14ac:dyDescent="0.3">
      <c r="A399" s="9" t="s">
        <v>577</v>
      </c>
      <c r="B399" s="10" t="s">
        <v>45</v>
      </c>
      <c r="C399" s="11">
        <v>45834</v>
      </c>
      <c r="D399" s="12">
        <v>886641</v>
      </c>
      <c r="E399" s="5" t="str">
        <f>_xlfn.XLOOKUP(D399,[1]!Tabela24[Código consultor],[1]!Tabela24[Consultor Venda],0,0,1)</f>
        <v>COM - SOC - RAPHAEL VITORINO RIBEIRO</v>
      </c>
      <c r="F399" s="5" t="str">
        <f>_xlfn.XLOOKUP(D399,[1]!Tabela24[Código consultor],[1]!Tabela24[Canal Consultor],0,0,1)</f>
        <v>Pap</v>
      </c>
      <c r="G399" s="10" t="str">
        <f>_xlfn.XLOOKUP(B399,[1]!Tabela1[[Cidades ]],[1]!Tabela1[Regional],0,0,1)</f>
        <v>Jean</v>
      </c>
      <c r="H399" s="13" t="str">
        <f>_xlfn.XLOOKUP(B399,[1]!Tabela1[[Cidades ]],[1]!Tabela1[Gerente],0,0,1)</f>
        <v>Demais coordenadores</v>
      </c>
    </row>
    <row r="400" spans="1:8" x14ac:dyDescent="0.3">
      <c r="A400" s="4" t="s">
        <v>682</v>
      </c>
      <c r="B400" s="5" t="s">
        <v>34</v>
      </c>
      <c r="C400" s="6">
        <v>45834</v>
      </c>
      <c r="D400" s="7">
        <v>216565</v>
      </c>
      <c r="E400" s="5" t="str">
        <f>_xlfn.XLOOKUP(D400,[1]!Tabela24[Código consultor],[1]!Tabela24[Consultor Venda],0,0,1)</f>
        <v>COM - ERE - JEAN CARLOS DOMINSKI</v>
      </c>
      <c r="F400" s="5" t="str">
        <f>_xlfn.XLOOKUP(D400,[1]!Tabela24[Código consultor],[1]!Tabela24[Canal Consultor],0,0,1)</f>
        <v>Pap</v>
      </c>
      <c r="G400" s="5" t="str">
        <f>_xlfn.XLOOKUP(B400,[1]!Tabela1[[Cidades ]],[1]!Tabela1[Regional],0,0,1)</f>
        <v>Alisson</v>
      </c>
      <c r="H400" s="8" t="str">
        <f>_xlfn.XLOOKUP(B400,[1]!Tabela1[[Cidades ]],[1]!Tabela1[Gerente],0,0,1)</f>
        <v>Karine</v>
      </c>
    </row>
    <row r="401" spans="1:8" x14ac:dyDescent="0.3">
      <c r="A401" s="9" t="s">
        <v>683</v>
      </c>
      <c r="B401" s="10" t="s">
        <v>70</v>
      </c>
      <c r="C401" s="11">
        <v>45834</v>
      </c>
      <c r="D401" s="12">
        <v>738880</v>
      </c>
      <c r="E401" s="5" t="str">
        <f>_xlfn.XLOOKUP(D401,[1]!Tabela24[Código consultor],[1]!Tabela24[Consultor Venda],0,0,1)</f>
        <v>PAR - PAP - MUNDIALE - ANA LUIZA COUTO MATIAS</v>
      </c>
      <c r="F401" s="5" t="str">
        <f>_xlfn.XLOOKUP(D401,[1]!Tabela24[Código consultor],[1]!Tabela24[Canal Consultor],0,0,1)</f>
        <v>PAR_DIG</v>
      </c>
      <c r="G401" s="10" t="str">
        <f>_xlfn.XLOOKUP(B401,[1]!Tabela1[[Cidades ]],[1]!Tabela1[Regional],0,0,1)</f>
        <v>Alisson</v>
      </c>
      <c r="H401" s="13" t="str">
        <f>_xlfn.XLOOKUP(B401,[1]!Tabela1[[Cidades ]],[1]!Tabela1[Gerente],0,0,1)</f>
        <v>Ariana</v>
      </c>
    </row>
    <row r="402" spans="1:8" x14ac:dyDescent="0.3">
      <c r="A402" s="4" t="s">
        <v>684</v>
      </c>
      <c r="B402" s="5" t="s">
        <v>32</v>
      </c>
      <c r="C402" s="6">
        <v>45834</v>
      </c>
      <c r="D402" s="7">
        <v>576121</v>
      </c>
      <c r="E402" s="5" t="str">
        <f>_xlfn.XLOOKUP(D402,[1]!Tabela24[Código consultor],[1]!Tabela24[Consultor Venda],0,0,1)</f>
        <v>COM - IGA - LEONARDO XAVIER GOMES</v>
      </c>
      <c r="F402" s="5" t="str">
        <f>_xlfn.XLOOKUP(D402,[1]!Tabela24[Código consultor],[1]!Tabela24[Canal Consultor],0,0,1)</f>
        <v>Pap</v>
      </c>
      <c r="G402" s="5" t="str">
        <f>_xlfn.XLOOKUP(B402,[1]!Tabela1[[Cidades ]],[1]!Tabela1[Regional],0,0,1)</f>
        <v>Jean</v>
      </c>
      <c r="H402" s="8" t="str">
        <f>_xlfn.XLOOKUP(B402,[1]!Tabela1[[Cidades ]],[1]!Tabela1[Gerente],0,0,1)</f>
        <v>Demais coordenadores</v>
      </c>
    </row>
    <row r="403" spans="1:8" x14ac:dyDescent="0.3">
      <c r="A403" s="9" t="s">
        <v>582</v>
      </c>
      <c r="B403" s="10" t="s">
        <v>35</v>
      </c>
      <c r="C403" s="11">
        <v>45834</v>
      </c>
      <c r="D403" s="12">
        <v>766269</v>
      </c>
      <c r="E403" s="5" t="str">
        <f>_xlfn.XLOOKUP(D403,[1]!Tabela24[Código consultor],[1]!Tabela24[Consultor Venda],0,0,1)</f>
        <v>COM - FRL - THALIA PRATES RIGHI</v>
      </c>
      <c r="F403" s="5" t="str">
        <f>_xlfn.XLOOKUP(D403,[1]!Tabela24[Código consultor],[1]!Tabela24[Canal Consultor],0,0,1)</f>
        <v>Pap</v>
      </c>
      <c r="G403" s="10" t="str">
        <f>_xlfn.XLOOKUP(B403,[1]!Tabela1[[Cidades ]],[1]!Tabela1[Regional],0,0,1)</f>
        <v>Magno</v>
      </c>
      <c r="H403" s="13" t="str">
        <f>_xlfn.XLOOKUP(B403,[1]!Tabela1[[Cidades ]],[1]!Tabela1[Gerente],0,0,1)</f>
        <v>Demais coordenadores</v>
      </c>
    </row>
    <row r="404" spans="1:8" x14ac:dyDescent="0.3">
      <c r="A404" s="4" t="s">
        <v>685</v>
      </c>
      <c r="B404" s="5" t="s">
        <v>11</v>
      </c>
      <c r="C404" s="6">
        <v>45834</v>
      </c>
      <c r="D404" s="7">
        <v>788656</v>
      </c>
      <c r="E404" s="5" t="str">
        <f>_xlfn.XLOOKUP(D404,[1]!Tabela24[Código consultor],[1]!Tabela24[Consultor Venda],0,0,1)</f>
        <v>PAR - STB - PAP - JOY TELECOM - GABRIELA ALVES DE GODOY</v>
      </c>
      <c r="F404" s="5" t="str">
        <f>_xlfn.XLOOKUP(D404,[1]!Tabela24[Código consultor],[1]!Tabela24[Canal Consultor],0,0,1)</f>
        <v>PAR_DIG</v>
      </c>
      <c r="G404" s="5" t="str">
        <f>_xlfn.XLOOKUP(B404,[1]!Tabela1[[Cidades ]],[1]!Tabela1[Regional],0,0,1)</f>
        <v>Magno</v>
      </c>
      <c r="H404" s="8" t="str">
        <f>_xlfn.XLOOKUP(B404,[1]!Tabela1[[Cidades ]],[1]!Tabela1[Gerente],0,0,1)</f>
        <v>Demais coordenadores</v>
      </c>
    </row>
    <row r="405" spans="1:8" x14ac:dyDescent="0.3">
      <c r="A405" s="9" t="s">
        <v>583</v>
      </c>
      <c r="B405" s="10" t="s">
        <v>10</v>
      </c>
      <c r="C405" s="11">
        <v>45834</v>
      </c>
      <c r="D405" s="12">
        <v>525458</v>
      </c>
      <c r="E405" s="5" t="str">
        <f>_xlfn.XLOOKUP(D405,[1]!Tabela24[Código consultor],[1]!Tabela24[Consultor Venda],0,0,1)</f>
        <v>PAR - ADM - GRP - FIGUEREDO MOBILE  - JOSELIO O. P. JUNIOR</v>
      </c>
      <c r="F405" s="5" t="str">
        <f>_xlfn.XLOOKUP(D405,[1]!Tabela24[Código consultor],[1]!Tabela24[Canal Consultor],0,0,1)</f>
        <v>PAR</v>
      </c>
      <c r="G405" s="10" t="str">
        <f>_xlfn.XLOOKUP(B405,[1]!Tabela1[[Cidades ]],[1]!Tabela1[Regional],0,0,1)</f>
        <v>Jean</v>
      </c>
      <c r="H405" s="13" t="str">
        <f>_xlfn.XLOOKUP(B405,[1]!Tabela1[[Cidades ]],[1]!Tabela1[Gerente],0,0,1)</f>
        <v>Demais coordenadores</v>
      </c>
    </row>
    <row r="406" spans="1:8" x14ac:dyDescent="0.3">
      <c r="A406" s="4" t="s">
        <v>686</v>
      </c>
      <c r="B406" s="5" t="s">
        <v>11</v>
      </c>
      <c r="C406" s="6">
        <v>45834</v>
      </c>
      <c r="D406" s="7">
        <v>738880</v>
      </c>
      <c r="E406" s="5" t="str">
        <f>_xlfn.XLOOKUP(D406,[1]!Tabela24[Código consultor],[1]!Tabela24[Consultor Venda],0,0,1)</f>
        <v>PAR - PAP - MUNDIALE - ANA LUIZA COUTO MATIAS</v>
      </c>
      <c r="F406" s="5" t="str">
        <f>_xlfn.XLOOKUP(D406,[1]!Tabela24[Código consultor],[1]!Tabela24[Canal Consultor],0,0,1)</f>
        <v>PAR_DIG</v>
      </c>
      <c r="G406" s="5" t="str">
        <f>_xlfn.XLOOKUP(B406,[1]!Tabela1[[Cidades ]],[1]!Tabela1[Regional],0,0,1)</f>
        <v>Magno</v>
      </c>
      <c r="H406" s="8" t="str">
        <f>_xlfn.XLOOKUP(B406,[1]!Tabela1[[Cidades ]],[1]!Tabela1[Gerente],0,0,1)</f>
        <v>Demais coordenadores</v>
      </c>
    </row>
    <row r="407" spans="1:8" x14ac:dyDescent="0.3">
      <c r="A407" s="9" t="s">
        <v>687</v>
      </c>
      <c r="B407" s="10" t="s">
        <v>13</v>
      </c>
      <c r="C407" s="11">
        <v>45834</v>
      </c>
      <c r="D407" s="12">
        <v>738880</v>
      </c>
      <c r="E407" s="5" t="str">
        <f>_xlfn.XLOOKUP(D407,[1]!Tabela24[Código consultor],[1]!Tabela24[Consultor Venda],0,0,1)</f>
        <v>PAR - PAP - MUNDIALE - ANA LUIZA COUTO MATIAS</v>
      </c>
      <c r="F407" s="5" t="str">
        <f>_xlfn.XLOOKUP(D407,[1]!Tabela24[Código consultor],[1]!Tabela24[Canal Consultor],0,0,1)</f>
        <v>PAR_DIG</v>
      </c>
      <c r="G407" s="10" t="str">
        <f>_xlfn.XLOOKUP(B407,[1]!Tabela1[[Cidades ]],[1]!Tabela1[Regional],0,0,1)</f>
        <v>Alisson</v>
      </c>
      <c r="H407" s="13" t="str">
        <f>_xlfn.XLOOKUP(B407,[1]!Tabela1[[Cidades ]],[1]!Tabela1[Gerente],0,0,1)</f>
        <v>Ariana</v>
      </c>
    </row>
    <row r="408" spans="1:8" x14ac:dyDescent="0.3">
      <c r="A408" s="4" t="s">
        <v>586</v>
      </c>
      <c r="B408" s="5" t="s">
        <v>24</v>
      </c>
      <c r="C408" s="6">
        <v>45834</v>
      </c>
      <c r="D408" s="7">
        <v>788656</v>
      </c>
      <c r="E408" s="5" t="str">
        <f>_xlfn.XLOOKUP(D408,[1]!Tabela24[Código consultor],[1]!Tabela24[Consultor Venda],0,0,1)</f>
        <v>PAR - STB - PAP - JOY TELECOM - GABRIELA ALVES DE GODOY</v>
      </c>
      <c r="F408" s="5" t="str">
        <f>_xlfn.XLOOKUP(D408,[1]!Tabela24[Código consultor],[1]!Tabela24[Canal Consultor],0,0,1)</f>
        <v>PAR_DIG</v>
      </c>
      <c r="G408" s="5" t="str">
        <f>_xlfn.XLOOKUP(B408,[1]!Tabela1[[Cidades ]],[1]!Tabela1[Regional],0,0,1)</f>
        <v>Magno</v>
      </c>
      <c r="H408" s="8" t="str">
        <f>_xlfn.XLOOKUP(B408,[1]!Tabela1[[Cidades ]],[1]!Tabela1[Gerente],0,0,1)</f>
        <v>Demais coordenadores</v>
      </c>
    </row>
    <row r="409" spans="1:8" x14ac:dyDescent="0.3">
      <c r="A409" s="9" t="s">
        <v>688</v>
      </c>
      <c r="B409" s="10" t="s">
        <v>61</v>
      </c>
      <c r="C409" s="11">
        <v>45834</v>
      </c>
      <c r="D409" s="12">
        <v>235841</v>
      </c>
      <c r="E409" s="5" t="str">
        <f>_xlfn.XLOOKUP(D409,[1]!Tabela24[Código consultor],[1]!Tabela24[Consultor Venda],0,0,1)</f>
        <v>DIG - CCO - KAUANA BONI</v>
      </c>
      <c r="F409" s="5" t="str">
        <f>_xlfn.XLOOKUP(D409,[1]!Tabela24[Código consultor],[1]!Tabela24[Canal Consultor],0,0,1)</f>
        <v>DIGITAL</v>
      </c>
      <c r="G409" s="10" t="str">
        <f>_xlfn.XLOOKUP(B409,[1]!Tabela1[[Cidades ]],[1]!Tabela1[Regional],0,0,1)</f>
        <v>Maycon</v>
      </c>
      <c r="H409" s="13" t="str">
        <f>_xlfn.XLOOKUP(B409,[1]!Tabela1[[Cidades ]],[1]!Tabela1[Gerente],0,0,1)</f>
        <v>Demais coordenadores</v>
      </c>
    </row>
    <row r="410" spans="1:8" x14ac:dyDescent="0.3">
      <c r="A410" s="4" t="s">
        <v>689</v>
      </c>
      <c r="B410" s="5" t="s">
        <v>16</v>
      </c>
      <c r="C410" s="6">
        <v>45834</v>
      </c>
      <c r="D410" s="7">
        <v>788656</v>
      </c>
      <c r="E410" s="5" t="str">
        <f>_xlfn.XLOOKUP(D410,[1]!Tabela24[Código consultor],[1]!Tabela24[Consultor Venda],0,0,1)</f>
        <v>PAR - STB - PAP - JOY TELECOM - GABRIELA ALVES DE GODOY</v>
      </c>
      <c r="F410" s="5" t="str">
        <f>_xlfn.XLOOKUP(D410,[1]!Tabela24[Código consultor],[1]!Tabela24[Canal Consultor],0,0,1)</f>
        <v>PAR_DIG</v>
      </c>
      <c r="G410" s="5" t="str">
        <f>_xlfn.XLOOKUP(B410,[1]!Tabela1[[Cidades ]],[1]!Tabela1[Regional],0,0,1)</f>
        <v>Magno</v>
      </c>
      <c r="H410" s="8" t="str">
        <f>_xlfn.XLOOKUP(B410,[1]!Tabela1[[Cidades ]],[1]!Tabela1[Gerente],0,0,1)</f>
        <v>Demais coordenadores</v>
      </c>
    </row>
    <row r="411" spans="1:8" x14ac:dyDescent="0.3">
      <c r="A411" s="9" t="s">
        <v>690</v>
      </c>
      <c r="B411" s="10" t="s">
        <v>76</v>
      </c>
      <c r="C411" s="11">
        <v>45834</v>
      </c>
      <c r="D411" s="12">
        <v>870268</v>
      </c>
      <c r="E411" s="5" t="str">
        <f>_xlfn.XLOOKUP(D411,[1]!Tabela24[Código consultor],[1]!Tabela24[Consultor Venda],0,0,1)</f>
        <v>COM - CIO - VITORIA LUIZA ALVES PEREIRA DA CRUZ</v>
      </c>
      <c r="F411" s="5" t="str">
        <f>_xlfn.XLOOKUP(D411,[1]!Tabela24[Código consultor],[1]!Tabela24[Canal Consultor],0,0,1)</f>
        <v>INTERNO</v>
      </c>
      <c r="G411" s="10" t="str">
        <f>_xlfn.XLOOKUP(B411,[1]!Tabela1[[Cidades ]],[1]!Tabela1[Regional],0,0,1)</f>
        <v>Alisson</v>
      </c>
      <c r="H411" s="13" t="str">
        <f>_xlfn.XLOOKUP(B411,[1]!Tabela1[[Cidades ]],[1]!Tabela1[Gerente],0,0,1)</f>
        <v>Helena</v>
      </c>
    </row>
    <row r="412" spans="1:8" x14ac:dyDescent="0.3">
      <c r="A412" s="4" t="s">
        <v>588</v>
      </c>
      <c r="B412" s="5" t="s">
        <v>19</v>
      </c>
      <c r="C412" s="6">
        <v>45834</v>
      </c>
      <c r="D412" s="7">
        <v>788656</v>
      </c>
      <c r="E412" s="5" t="str">
        <f>_xlfn.XLOOKUP(D412,[1]!Tabela24[Código consultor],[1]!Tabela24[Consultor Venda],0,0,1)</f>
        <v>PAR - STB - PAP - JOY TELECOM - GABRIELA ALVES DE GODOY</v>
      </c>
      <c r="F412" s="5" t="str">
        <f>_xlfn.XLOOKUP(D412,[1]!Tabela24[Código consultor],[1]!Tabela24[Canal Consultor],0,0,1)</f>
        <v>PAR_DIG</v>
      </c>
      <c r="G412" s="5" t="str">
        <f>_xlfn.XLOOKUP(B412,[1]!Tabela1[[Cidades ]],[1]!Tabela1[Regional],0,0,1)</f>
        <v>Magno</v>
      </c>
      <c r="H412" s="8" t="str">
        <f>_xlfn.XLOOKUP(B412,[1]!Tabela1[[Cidades ]],[1]!Tabela1[Gerente],0,0,1)</f>
        <v>Demais coordenadores</v>
      </c>
    </row>
    <row r="413" spans="1:8" x14ac:dyDescent="0.3">
      <c r="A413" s="9" t="s">
        <v>691</v>
      </c>
      <c r="B413" s="10" t="s">
        <v>13</v>
      </c>
      <c r="C413" s="11">
        <v>45834</v>
      </c>
      <c r="D413" s="12">
        <v>882331</v>
      </c>
      <c r="E413" s="5" t="str">
        <f>_xlfn.XLOOKUP(D413,[1]!Tabela24[Código consultor],[1]!Tabela24[Consultor Venda],0,0,1)</f>
        <v>DIG - CCO - SABRINA LUIZA BANDEIRA</v>
      </c>
      <c r="F413" s="5" t="str">
        <f>_xlfn.XLOOKUP(D413,[1]!Tabela24[Código consultor],[1]!Tabela24[Canal Consultor],0,0,1)</f>
        <v>DIGITAL</v>
      </c>
      <c r="G413" s="10" t="str">
        <f>_xlfn.XLOOKUP(B413,[1]!Tabela1[[Cidades ]],[1]!Tabela1[Regional],0,0,1)</f>
        <v>Alisson</v>
      </c>
      <c r="H413" s="13" t="str">
        <f>_xlfn.XLOOKUP(B413,[1]!Tabela1[[Cidades ]],[1]!Tabela1[Gerente],0,0,1)</f>
        <v>Ariana</v>
      </c>
    </row>
    <row r="414" spans="1:8" x14ac:dyDescent="0.3">
      <c r="A414" s="4" t="s">
        <v>692</v>
      </c>
      <c r="B414" s="5" t="s">
        <v>53</v>
      </c>
      <c r="C414" s="6">
        <v>45834</v>
      </c>
      <c r="D414" s="7">
        <v>788656</v>
      </c>
      <c r="E414" s="5" t="str">
        <f>_xlfn.XLOOKUP(D414,[1]!Tabela24[Código consultor],[1]!Tabela24[Consultor Venda],0,0,1)</f>
        <v>PAR - STB - PAP - JOY TELECOM - GABRIELA ALVES DE GODOY</v>
      </c>
      <c r="F414" s="5" t="str">
        <f>_xlfn.XLOOKUP(D414,[1]!Tabela24[Código consultor],[1]!Tabela24[Canal Consultor],0,0,1)</f>
        <v>PAR_DIG</v>
      </c>
      <c r="G414" s="5" t="str">
        <f>_xlfn.XLOOKUP(B414,[1]!Tabela1[[Cidades ]],[1]!Tabela1[Regional],0,0,1)</f>
        <v>Adilson</v>
      </c>
      <c r="H414" s="8" t="str">
        <f>_xlfn.XLOOKUP(B414,[1]!Tabela1[[Cidades ]],[1]!Tabela1[Gerente],0,0,1)</f>
        <v>Demais coordenadores</v>
      </c>
    </row>
    <row r="415" spans="1:8" x14ac:dyDescent="0.3">
      <c r="A415" s="9" t="s">
        <v>589</v>
      </c>
      <c r="B415" s="10" t="s">
        <v>10</v>
      </c>
      <c r="C415" s="11">
        <v>45834</v>
      </c>
      <c r="D415" s="12">
        <v>525458</v>
      </c>
      <c r="E415" s="5" t="str">
        <f>_xlfn.XLOOKUP(D415,[1]!Tabela24[Código consultor],[1]!Tabela24[Consultor Venda],0,0,1)</f>
        <v>PAR - ADM - GRP - FIGUEREDO MOBILE  - JOSELIO O. P. JUNIOR</v>
      </c>
      <c r="F415" s="5" t="str">
        <f>_xlfn.XLOOKUP(D415,[1]!Tabela24[Código consultor],[1]!Tabela24[Canal Consultor],0,0,1)</f>
        <v>PAR</v>
      </c>
      <c r="G415" s="10" t="str">
        <f>_xlfn.XLOOKUP(B415,[1]!Tabela1[[Cidades ]],[1]!Tabela1[Regional],0,0,1)</f>
        <v>Jean</v>
      </c>
      <c r="H415" s="13" t="str">
        <f>_xlfn.XLOOKUP(B415,[1]!Tabela1[[Cidades ]],[1]!Tabela1[Gerente],0,0,1)</f>
        <v>Demais coordenadores</v>
      </c>
    </row>
    <row r="416" spans="1:8" x14ac:dyDescent="0.3">
      <c r="A416" s="4" t="s">
        <v>693</v>
      </c>
      <c r="B416" s="5" t="s">
        <v>27</v>
      </c>
      <c r="C416" s="6">
        <v>45834</v>
      </c>
      <c r="D416" s="7">
        <v>788656</v>
      </c>
      <c r="E416" s="5" t="str">
        <f>_xlfn.XLOOKUP(D416,[1]!Tabela24[Código consultor],[1]!Tabela24[Consultor Venda],0,0,1)</f>
        <v>PAR - STB - PAP - JOY TELECOM - GABRIELA ALVES DE GODOY</v>
      </c>
      <c r="F416" s="5" t="str">
        <f>_xlfn.XLOOKUP(D416,[1]!Tabela24[Código consultor],[1]!Tabela24[Canal Consultor],0,0,1)</f>
        <v>PAR_DIG</v>
      </c>
      <c r="G416" s="5" t="str">
        <f>_xlfn.XLOOKUP(B416,[1]!Tabela1[[Cidades ]],[1]!Tabela1[Regional],0,0,1)</f>
        <v>Alisson</v>
      </c>
      <c r="H416" s="8" t="str">
        <f>_xlfn.XLOOKUP(B416,[1]!Tabela1[[Cidades ]],[1]!Tabela1[Gerente],0,0,1)</f>
        <v>Tatiane</v>
      </c>
    </row>
    <row r="417" spans="1:8" x14ac:dyDescent="0.3">
      <c r="A417" s="9" t="s">
        <v>590</v>
      </c>
      <c r="B417" s="10" t="s">
        <v>53</v>
      </c>
      <c r="C417" s="11">
        <v>45834</v>
      </c>
      <c r="D417" s="12">
        <v>710727</v>
      </c>
      <c r="E417" s="5" t="str">
        <f>_xlfn.XLOOKUP(D417,[1]!Tabela24[Código consultor],[1]!Tabela24[Consultor Venda],0,0,1)</f>
        <v>COM - DOS - KAIQUE DA SILVA PASSOS</v>
      </c>
      <c r="F417" s="5" t="str">
        <f>_xlfn.XLOOKUP(D417,[1]!Tabela24[Código consultor],[1]!Tabela24[Canal Consultor],0,0,1)</f>
        <v>Pap</v>
      </c>
      <c r="G417" s="10" t="str">
        <f>_xlfn.XLOOKUP(B417,[1]!Tabela1[[Cidades ]],[1]!Tabela1[Regional],0,0,1)</f>
        <v>Adilson</v>
      </c>
      <c r="H417" s="13" t="str">
        <f>_xlfn.XLOOKUP(B417,[1]!Tabela1[[Cidades ]],[1]!Tabela1[Gerente],0,0,1)</f>
        <v>Demais coordenadores</v>
      </c>
    </row>
    <row r="418" spans="1:8" x14ac:dyDescent="0.3">
      <c r="A418" s="4" t="s">
        <v>694</v>
      </c>
      <c r="B418" s="5" t="s">
        <v>30</v>
      </c>
      <c r="C418" s="6">
        <v>45834</v>
      </c>
      <c r="D418" s="7">
        <v>883827</v>
      </c>
      <c r="E418" s="5" t="str">
        <f>_xlfn.XLOOKUP(D418,[1]!Tabela24[Código consultor],[1]!Tabela24[Consultor Venda],0,0,1)</f>
        <v>COM - IGA - YASMIN NAYARA DE ALMEIDA SILVA</v>
      </c>
      <c r="F418" s="5" t="str">
        <f>_xlfn.XLOOKUP(D418,[1]!Tabela24[Código consultor],[1]!Tabela24[Canal Consultor],0,0,1)</f>
        <v>Pap</v>
      </c>
      <c r="G418" s="5" t="str">
        <f>_xlfn.XLOOKUP(B418,[1]!Tabela1[[Cidades ]],[1]!Tabela1[Regional],0,0,1)</f>
        <v>Jean</v>
      </c>
      <c r="H418" s="8" t="str">
        <f>_xlfn.XLOOKUP(B418,[1]!Tabela1[[Cidades ]],[1]!Tabela1[Gerente],0,0,1)</f>
        <v>Demais coordenadores</v>
      </c>
    </row>
    <row r="419" spans="1:8" x14ac:dyDescent="0.3">
      <c r="A419" s="9" t="s">
        <v>695</v>
      </c>
      <c r="B419" s="10" t="s">
        <v>13</v>
      </c>
      <c r="C419" s="11">
        <v>45834</v>
      </c>
      <c r="D419" s="12">
        <v>879945</v>
      </c>
      <c r="E419" s="5" t="str">
        <f>_xlfn.XLOOKUP(D419,[1]!Tabela24[Código consultor],[1]!Tabela24[Consultor Venda],0,0,1)</f>
        <v>COM - PAS - MABILLY LOEBLEIN GOEDEL</v>
      </c>
      <c r="F419" s="5" t="str">
        <f>_xlfn.XLOOKUP(D419,[1]!Tabela24[Código consultor],[1]!Tabela24[Canal Consultor],0,0,1)</f>
        <v>INTERNO</v>
      </c>
      <c r="G419" s="10" t="str">
        <f>_xlfn.XLOOKUP(B419,[1]!Tabela1[[Cidades ]],[1]!Tabela1[Regional],0,0,1)</f>
        <v>Alisson</v>
      </c>
      <c r="H419" s="13" t="str">
        <f>_xlfn.XLOOKUP(B419,[1]!Tabela1[[Cidades ]],[1]!Tabela1[Gerente],0,0,1)</f>
        <v>Ariana</v>
      </c>
    </row>
    <row r="420" spans="1:8" x14ac:dyDescent="0.3">
      <c r="A420" s="4" t="s">
        <v>696</v>
      </c>
      <c r="B420" s="5" t="s">
        <v>13</v>
      </c>
      <c r="C420" s="6">
        <v>45834</v>
      </c>
      <c r="D420" s="7">
        <v>496</v>
      </c>
      <c r="E420" s="5" t="str">
        <f>_xlfn.XLOOKUP(D420,[1]!Tabela24[Código consultor],[1]!Tabela24[Consultor Venda],0,0,1)</f>
        <v>O&amp;M - PAS - GES - MARCELO LEITES FORTES</v>
      </c>
      <c r="F420" s="5" t="str">
        <f>_xlfn.XLOOKUP(D420,[1]!Tabela24[Código consultor],[1]!Tabela24[Canal Consultor],0,0,1)</f>
        <v>ADM Interno</v>
      </c>
      <c r="G420" s="5" t="str">
        <f>_xlfn.XLOOKUP(B420,[1]!Tabela1[[Cidades ]],[1]!Tabela1[Regional],0,0,1)</f>
        <v>Alisson</v>
      </c>
      <c r="H420" s="8" t="str">
        <f>_xlfn.XLOOKUP(B420,[1]!Tabela1[[Cidades ]],[1]!Tabela1[Gerente],0,0,1)</f>
        <v>Ariana</v>
      </c>
    </row>
    <row r="421" spans="1:8" x14ac:dyDescent="0.3">
      <c r="A421" s="9" t="s">
        <v>591</v>
      </c>
      <c r="B421" s="10" t="s">
        <v>23</v>
      </c>
      <c r="C421" s="11">
        <v>45834</v>
      </c>
      <c r="D421" s="12">
        <v>767508</v>
      </c>
      <c r="E421" s="5" t="str">
        <f>_xlfn.XLOOKUP(D421,[1]!Tabela24[Código consultor],[1]!Tabela24[Consultor Venda],0,0,1)</f>
        <v>COM - CAN - JULIANA DA SILVA ASSUNCAO</v>
      </c>
      <c r="F421" s="5" t="str">
        <f>_xlfn.XLOOKUP(D421,[1]!Tabela24[Código consultor],[1]!Tabela24[Canal Consultor],0,0,1)</f>
        <v>Pap</v>
      </c>
      <c r="G421" s="10" t="str">
        <f>_xlfn.XLOOKUP(B421,[1]!Tabela1[[Cidades ]],[1]!Tabela1[Regional],0,0,1)</f>
        <v>Magno</v>
      </c>
      <c r="H421" s="13" t="str">
        <f>_xlfn.XLOOKUP(B421,[1]!Tabela1[[Cidades ]],[1]!Tabela1[Gerente],0,0,1)</f>
        <v>Demais coordenadores</v>
      </c>
    </row>
    <row r="422" spans="1:8" x14ac:dyDescent="0.3">
      <c r="A422" s="4" t="s">
        <v>592</v>
      </c>
      <c r="B422" s="5" t="s">
        <v>31</v>
      </c>
      <c r="C422" s="6">
        <v>45834</v>
      </c>
      <c r="D422" s="7">
        <v>788656</v>
      </c>
      <c r="E422" s="5" t="str">
        <f>_xlfn.XLOOKUP(D422,[1]!Tabela24[Código consultor],[1]!Tabela24[Consultor Venda],0,0,1)</f>
        <v>PAR - STB - PAP - JOY TELECOM - GABRIELA ALVES DE GODOY</v>
      </c>
      <c r="F422" s="5" t="str">
        <f>_xlfn.XLOOKUP(D422,[1]!Tabela24[Código consultor],[1]!Tabela24[Canal Consultor],0,0,1)</f>
        <v>PAR_DIG</v>
      </c>
      <c r="G422" s="5" t="str">
        <f>_xlfn.XLOOKUP(B422,[1]!Tabela1[[Cidades ]],[1]!Tabela1[Regional],0,0,1)</f>
        <v>Maycon</v>
      </c>
      <c r="H422" s="8" t="str">
        <f>_xlfn.XLOOKUP(B422,[1]!Tabela1[[Cidades ]],[1]!Tabela1[Gerente],0,0,1)</f>
        <v>Demais coordenadores</v>
      </c>
    </row>
    <row r="423" spans="1:8" x14ac:dyDescent="0.3">
      <c r="A423" s="9" t="s">
        <v>593</v>
      </c>
      <c r="B423" s="10" t="s">
        <v>19</v>
      </c>
      <c r="C423" s="11">
        <v>45834</v>
      </c>
      <c r="D423" s="12">
        <v>788656</v>
      </c>
      <c r="E423" s="5" t="str">
        <f>_xlfn.XLOOKUP(D423,[1]!Tabela24[Código consultor],[1]!Tabela24[Consultor Venda],0,0,1)</f>
        <v>PAR - STB - PAP - JOY TELECOM - GABRIELA ALVES DE GODOY</v>
      </c>
      <c r="F423" s="5" t="str">
        <f>_xlfn.XLOOKUP(D423,[1]!Tabela24[Código consultor],[1]!Tabela24[Canal Consultor],0,0,1)</f>
        <v>PAR_DIG</v>
      </c>
      <c r="G423" s="10" t="str">
        <f>_xlfn.XLOOKUP(B423,[1]!Tabela1[[Cidades ]],[1]!Tabela1[Regional],0,0,1)</f>
        <v>Magno</v>
      </c>
      <c r="H423" s="13" t="str">
        <f>_xlfn.XLOOKUP(B423,[1]!Tabela1[[Cidades ]],[1]!Tabela1[Gerente],0,0,1)</f>
        <v>Demais coordenadores</v>
      </c>
    </row>
    <row r="424" spans="1:8" x14ac:dyDescent="0.3">
      <c r="A424" s="4" t="s">
        <v>594</v>
      </c>
      <c r="B424" s="5" t="s">
        <v>19</v>
      </c>
      <c r="C424" s="6">
        <v>45834</v>
      </c>
      <c r="D424" s="7">
        <v>725067</v>
      </c>
      <c r="E424" s="5" t="str">
        <f>_xlfn.XLOOKUP(D424,[1]!Tabela24[Código consultor],[1]!Tabela24[Consultor Venda],0,0,1)</f>
        <v>COM - CHN - MICHELY SANTOS DOS SANTOS</v>
      </c>
      <c r="F424" s="5" t="str">
        <f>_xlfn.XLOOKUP(D424,[1]!Tabela24[Código consultor],[1]!Tabela24[Canal Consultor],0,0,1)</f>
        <v>Pap</v>
      </c>
      <c r="G424" s="5" t="str">
        <f>_xlfn.XLOOKUP(B424,[1]!Tabela1[[Cidades ]],[1]!Tabela1[Regional],0,0,1)</f>
        <v>Magno</v>
      </c>
      <c r="H424" s="8" t="str">
        <f>_xlfn.XLOOKUP(B424,[1]!Tabela1[[Cidades ]],[1]!Tabela1[Gerente],0,0,1)</f>
        <v>Demais coordenadores</v>
      </c>
    </row>
    <row r="425" spans="1:8" x14ac:dyDescent="0.3">
      <c r="A425" s="9" t="s">
        <v>697</v>
      </c>
      <c r="B425" s="10" t="s">
        <v>11</v>
      </c>
      <c r="C425" s="11">
        <v>45834</v>
      </c>
      <c r="D425" s="12">
        <v>767508</v>
      </c>
      <c r="E425" s="5" t="str">
        <f>_xlfn.XLOOKUP(D425,[1]!Tabela24[Código consultor],[1]!Tabela24[Consultor Venda],0,0,1)</f>
        <v>COM - CAN - JULIANA DA SILVA ASSUNCAO</v>
      </c>
      <c r="F425" s="5" t="str">
        <f>_xlfn.XLOOKUP(D425,[1]!Tabela24[Código consultor],[1]!Tabela24[Canal Consultor],0,0,1)</f>
        <v>Pap</v>
      </c>
      <c r="G425" s="10" t="str">
        <f>_xlfn.XLOOKUP(B425,[1]!Tabela1[[Cidades ]],[1]!Tabela1[Regional],0,0,1)</f>
        <v>Magno</v>
      </c>
      <c r="H425" s="13" t="str">
        <f>_xlfn.XLOOKUP(B425,[1]!Tabela1[[Cidades ]],[1]!Tabela1[Gerente],0,0,1)</f>
        <v>Demais coordenadores</v>
      </c>
    </row>
    <row r="426" spans="1:8" x14ac:dyDescent="0.3">
      <c r="A426" s="4" t="s">
        <v>698</v>
      </c>
      <c r="B426" s="5" t="s">
        <v>11</v>
      </c>
      <c r="C426" s="6">
        <v>45834</v>
      </c>
      <c r="D426" s="7">
        <v>861705</v>
      </c>
      <c r="E426" s="5" t="str">
        <f>_xlfn.XLOOKUP(D426,[1]!Tabela24[Código consultor],[1]!Tabela24[Consultor Venda],0,0,1)</f>
        <v>PAR - COM - PAP - TQR - ERIKA DE OLIVEIRA GALLE</v>
      </c>
      <c r="F426" s="5" t="str">
        <f>_xlfn.XLOOKUP(D426,[1]!Tabela24[Código consultor],[1]!Tabela24[Canal Consultor],0,0,1)</f>
        <v>PAR</v>
      </c>
      <c r="G426" s="5" t="str">
        <f>_xlfn.XLOOKUP(B426,[1]!Tabela1[[Cidades ]],[1]!Tabela1[Regional],0,0,1)</f>
        <v>Magno</v>
      </c>
      <c r="H426" s="8" t="str">
        <f>_xlfn.XLOOKUP(B426,[1]!Tabela1[[Cidades ]],[1]!Tabela1[Gerente],0,0,1)</f>
        <v>Demais coordenadores</v>
      </c>
    </row>
    <row r="427" spans="1:8" x14ac:dyDescent="0.3">
      <c r="A427" s="9" t="s">
        <v>699</v>
      </c>
      <c r="B427" s="10" t="s">
        <v>88</v>
      </c>
      <c r="C427" s="11">
        <v>45834</v>
      </c>
      <c r="D427" s="12">
        <v>874055</v>
      </c>
      <c r="E427" s="5" t="str">
        <f>_xlfn.XLOOKUP(D427,[1]!Tabela24[Código consultor],[1]!Tabela24[Consultor Venda],0,0,1)</f>
        <v>COM - CUA - RAFAEL ROSA ROQUE</v>
      </c>
      <c r="F427" s="5" t="str">
        <f>_xlfn.XLOOKUP(D427,[1]!Tabela24[Código consultor],[1]!Tabela24[Canal Consultor],0,0,1)</f>
        <v>Pap</v>
      </c>
      <c r="G427" s="10" t="str">
        <f>_xlfn.XLOOKUP(B427,[1]!Tabela1[[Cidades ]],[1]!Tabela1[Regional],0,0,1)</f>
        <v>Marcio</v>
      </c>
      <c r="H427" s="13" t="str">
        <f>_xlfn.XLOOKUP(B427,[1]!Tabela1[[Cidades ]],[1]!Tabela1[Gerente],0,0,1)</f>
        <v>Demais coordenadores</v>
      </c>
    </row>
    <row r="428" spans="1:8" x14ac:dyDescent="0.3">
      <c r="A428" s="4" t="s">
        <v>598</v>
      </c>
      <c r="B428" s="5" t="s">
        <v>23</v>
      </c>
      <c r="C428" s="6">
        <v>45834</v>
      </c>
      <c r="D428" s="7">
        <v>861705</v>
      </c>
      <c r="E428" s="5" t="str">
        <f>_xlfn.XLOOKUP(D428,[1]!Tabela24[Código consultor],[1]!Tabela24[Consultor Venda],0,0,1)</f>
        <v>PAR - COM - PAP - TQR - ERIKA DE OLIVEIRA GALLE</v>
      </c>
      <c r="F428" s="5" t="str">
        <f>_xlfn.XLOOKUP(D428,[1]!Tabela24[Código consultor],[1]!Tabela24[Canal Consultor],0,0,1)</f>
        <v>PAR</v>
      </c>
      <c r="G428" s="5" t="str">
        <f>_xlfn.XLOOKUP(B428,[1]!Tabela1[[Cidades ]],[1]!Tabela1[Regional],0,0,1)</f>
        <v>Magno</v>
      </c>
      <c r="H428" s="8" t="str">
        <f>_xlfn.XLOOKUP(B428,[1]!Tabela1[[Cidades ]],[1]!Tabela1[Gerente],0,0,1)</f>
        <v>Demais coordenadores</v>
      </c>
    </row>
    <row r="429" spans="1:8" x14ac:dyDescent="0.3">
      <c r="A429" s="9" t="s">
        <v>599</v>
      </c>
      <c r="B429" s="10" t="s">
        <v>24</v>
      </c>
      <c r="C429" s="11">
        <v>45834</v>
      </c>
      <c r="D429" s="12">
        <v>165769</v>
      </c>
      <c r="E429" s="5" t="str">
        <f>_xlfn.XLOOKUP(D429,[1]!Tabela24[Código consultor],[1]!Tabela24[Consultor Venda],0,0,1)</f>
        <v>PAR - PAP - GTI - THALIA SP - THALIA DA SILVA PEREIRA</v>
      </c>
      <c r="F429" s="5" t="str">
        <f>_xlfn.XLOOKUP(D429,[1]!Tabela24[Código consultor],[1]!Tabela24[Canal Consultor],0,0,1)</f>
        <v>PAR</v>
      </c>
      <c r="G429" s="10" t="str">
        <f>_xlfn.XLOOKUP(B429,[1]!Tabela1[[Cidades ]],[1]!Tabela1[Regional],0,0,1)</f>
        <v>Magno</v>
      </c>
      <c r="H429" s="13" t="str">
        <f>_xlfn.XLOOKUP(B429,[1]!Tabela1[[Cidades ]],[1]!Tabela1[Gerente],0,0,1)</f>
        <v>Demais coordenadores</v>
      </c>
    </row>
    <row r="430" spans="1:8" x14ac:dyDescent="0.3">
      <c r="A430" s="4" t="s">
        <v>700</v>
      </c>
      <c r="B430" s="5" t="s">
        <v>24</v>
      </c>
      <c r="C430" s="6">
        <v>45834</v>
      </c>
      <c r="D430" s="7">
        <v>682336</v>
      </c>
      <c r="E430" s="5" t="str">
        <f>_xlfn.XLOOKUP(D430,[1]!Tabela24[Código consultor],[1]!Tabela24[Consultor Venda],0,0,1)</f>
        <v>PAR - SMA - TEC - MEGA WALL - JOCEMAR A. DO SANTOS</v>
      </c>
      <c r="F430" s="5" t="str">
        <f>_xlfn.XLOOKUP(D430,[1]!Tabela24[Código consultor],[1]!Tabela24[Canal Consultor],0,0,1)</f>
        <v>PAR</v>
      </c>
      <c r="G430" s="5" t="str">
        <f>_xlfn.XLOOKUP(B430,[1]!Tabela1[[Cidades ]],[1]!Tabela1[Regional],0,0,1)</f>
        <v>Magno</v>
      </c>
      <c r="H430" s="8" t="str">
        <f>_xlfn.XLOOKUP(B430,[1]!Tabela1[[Cidades ]],[1]!Tabela1[Gerente],0,0,1)</f>
        <v>Demais coordenadores</v>
      </c>
    </row>
    <row r="431" spans="1:8" x14ac:dyDescent="0.3">
      <c r="A431" s="9" t="s">
        <v>701</v>
      </c>
      <c r="B431" s="10" t="s">
        <v>30</v>
      </c>
      <c r="C431" s="11">
        <v>45834</v>
      </c>
      <c r="D431" s="12">
        <v>867522</v>
      </c>
      <c r="E431" s="5" t="str">
        <f>_xlfn.XLOOKUP(D431,[1]!Tabela24[Código consultor],[1]!Tabela24[Consultor Venda],0,0,1)</f>
        <v>COM - IGA - SANDRO CESAR MARTINS</v>
      </c>
      <c r="F431" s="5" t="str">
        <f>_xlfn.XLOOKUP(D431,[1]!Tabela24[Código consultor],[1]!Tabela24[Canal Consultor],0,0,1)</f>
        <v>Pap</v>
      </c>
      <c r="G431" s="10" t="str">
        <f>_xlfn.XLOOKUP(B431,[1]!Tabela1[[Cidades ]],[1]!Tabela1[Regional],0,0,1)</f>
        <v>Jean</v>
      </c>
      <c r="H431" s="13" t="str">
        <f>_xlfn.XLOOKUP(B431,[1]!Tabela1[[Cidades ]],[1]!Tabela1[Gerente],0,0,1)</f>
        <v>Demais coordenadores</v>
      </c>
    </row>
    <row r="432" spans="1:8" x14ac:dyDescent="0.3">
      <c r="A432" s="4" t="s">
        <v>702</v>
      </c>
      <c r="B432" s="5" t="s">
        <v>31</v>
      </c>
      <c r="C432" s="6">
        <v>45834</v>
      </c>
      <c r="D432" s="7">
        <v>822704</v>
      </c>
      <c r="E432" s="5" t="str">
        <f>_xlfn.XLOOKUP(D432,[1]!Tabela24[Código consultor],[1]!Tabela24[Consultor Venda],0,0,1)</f>
        <v>PAR - PAP - V S MONTEIRO - VINICIUS SILVA MONTEIRO</v>
      </c>
      <c r="F432" s="5" t="str">
        <f>_xlfn.XLOOKUP(D432,[1]!Tabela24[Código consultor],[1]!Tabela24[Canal Consultor],0,0,1)</f>
        <v>PAR</v>
      </c>
      <c r="G432" s="5" t="str">
        <f>_xlfn.XLOOKUP(B432,[1]!Tabela1[[Cidades ]],[1]!Tabela1[Regional],0,0,1)</f>
        <v>Maycon</v>
      </c>
      <c r="H432" s="8" t="str">
        <f>_xlfn.XLOOKUP(B432,[1]!Tabela1[[Cidades ]],[1]!Tabela1[Gerente],0,0,1)</f>
        <v>Demais coordenadores</v>
      </c>
    </row>
    <row r="433" spans="1:8" x14ac:dyDescent="0.3">
      <c r="A433" s="9" t="s">
        <v>703</v>
      </c>
      <c r="B433" s="10" t="s">
        <v>46</v>
      </c>
      <c r="C433" s="11">
        <v>45834</v>
      </c>
      <c r="D433" s="12">
        <v>811237</v>
      </c>
      <c r="E433" s="5" t="str">
        <f>_xlfn.XLOOKUP(D433,[1]!Tabela24[Código consultor],[1]!Tabela24[Consultor Venda],0,0,1)</f>
        <v>DIG - CCO - MAIKON JORDAN CHAVES DE QUADROS</v>
      </c>
      <c r="F433" s="5" t="str">
        <f>_xlfn.XLOOKUP(D433,[1]!Tabela24[Código consultor],[1]!Tabela24[Canal Consultor],0,0,1)</f>
        <v>DIGITAL</v>
      </c>
      <c r="G433" s="10" t="str">
        <f>_xlfn.XLOOKUP(B433,[1]!Tabela1[[Cidades ]],[1]!Tabela1[Regional],0,0,1)</f>
        <v>Magno</v>
      </c>
      <c r="H433" s="13" t="str">
        <f>_xlfn.XLOOKUP(B433,[1]!Tabela1[[Cidades ]],[1]!Tabela1[Gerente],0,0,1)</f>
        <v>Demais coordenadores</v>
      </c>
    </row>
    <row r="434" spans="1:8" x14ac:dyDescent="0.3">
      <c r="A434" s="4" t="s">
        <v>704</v>
      </c>
      <c r="B434" s="5" t="s">
        <v>27</v>
      </c>
      <c r="C434" s="6">
        <v>45834</v>
      </c>
      <c r="D434" s="7">
        <v>172141</v>
      </c>
      <c r="E434" s="5" t="str">
        <f>_xlfn.XLOOKUP(D434,[1]!Tabela24[Código consultor],[1]!Tabela24[Consultor Venda],0,0,1)</f>
        <v>COM - VAA - KETELLE PEDROSO DA CONCEICAO</v>
      </c>
      <c r="F434" s="5" t="str">
        <f>_xlfn.XLOOKUP(D434,[1]!Tabela24[Código consultor],[1]!Tabela24[Canal Consultor],0,0,1)</f>
        <v>INTERNO</v>
      </c>
      <c r="G434" s="5" t="str">
        <f>_xlfn.XLOOKUP(B434,[1]!Tabela1[[Cidades ]],[1]!Tabela1[Regional],0,0,1)</f>
        <v>Alisson</v>
      </c>
      <c r="H434" s="8" t="str">
        <f>_xlfn.XLOOKUP(B434,[1]!Tabela1[[Cidades ]],[1]!Tabela1[Gerente],0,0,1)</f>
        <v>Tatiane</v>
      </c>
    </row>
    <row r="435" spans="1:8" x14ac:dyDescent="0.3">
      <c r="A435" s="9" t="s">
        <v>705</v>
      </c>
      <c r="B435" s="10" t="s">
        <v>53</v>
      </c>
      <c r="C435" s="11">
        <v>45834</v>
      </c>
      <c r="D435" s="12">
        <v>197832</v>
      </c>
      <c r="E435" s="5" t="str">
        <f>_xlfn.XLOOKUP(D435,[1]!Tabela24[Código consultor],[1]!Tabela24[Consultor Venda],0,0,1)</f>
        <v>DIG - CCO - RAIANE BERGAMIN</v>
      </c>
      <c r="F435" s="5" t="str">
        <f>_xlfn.XLOOKUP(D435,[1]!Tabela24[Código consultor],[1]!Tabela24[Canal Consultor],0,0,1)</f>
        <v>DIGITAL</v>
      </c>
      <c r="G435" s="10" t="str">
        <f>_xlfn.XLOOKUP(B435,[1]!Tabela1[[Cidades ]],[1]!Tabela1[Regional],0,0,1)</f>
        <v>Adilson</v>
      </c>
      <c r="H435" s="13" t="str">
        <f>_xlfn.XLOOKUP(B435,[1]!Tabela1[[Cidades ]],[1]!Tabela1[Gerente],0,0,1)</f>
        <v>Demais coordenadores</v>
      </c>
    </row>
    <row r="436" spans="1:8" x14ac:dyDescent="0.3">
      <c r="A436" s="4" t="s">
        <v>706</v>
      </c>
      <c r="B436" s="5" t="s">
        <v>69</v>
      </c>
      <c r="C436" s="6">
        <v>45834</v>
      </c>
      <c r="D436" s="7">
        <v>683349</v>
      </c>
      <c r="E436" s="5" t="str">
        <f>_xlfn.XLOOKUP(D436,[1]!Tabela24[Código consultor],[1]!Tabela24[Consultor Venda],0,0,1)</f>
        <v>DIG - CCO - EVELLIN SALOA MAIA DA CONCEICAO</v>
      </c>
      <c r="F436" s="5" t="str">
        <f>_xlfn.XLOOKUP(D436,[1]!Tabela24[Código consultor],[1]!Tabela24[Canal Consultor],0,0,1)</f>
        <v>DIGITAL</v>
      </c>
      <c r="G436" s="5" t="str">
        <f>_xlfn.XLOOKUP(B436,[1]!Tabela1[[Cidades ]],[1]!Tabela1[Regional],0,0,1)</f>
        <v>Maycon</v>
      </c>
      <c r="H436" s="8" t="str">
        <f>_xlfn.XLOOKUP(B436,[1]!Tabela1[[Cidades ]],[1]!Tabela1[Gerente],0,0,1)</f>
        <v>Demais coordenadores</v>
      </c>
    </row>
    <row r="437" spans="1:8" x14ac:dyDescent="0.3">
      <c r="A437" s="9" t="s">
        <v>707</v>
      </c>
      <c r="B437" s="10" t="s">
        <v>32</v>
      </c>
      <c r="C437" s="11">
        <v>45834</v>
      </c>
      <c r="D437" s="12">
        <v>576121</v>
      </c>
      <c r="E437" s="5" t="str">
        <f>_xlfn.XLOOKUP(D437,[1]!Tabela24[Código consultor],[1]!Tabela24[Consultor Venda],0,0,1)</f>
        <v>COM - IGA - LEONARDO XAVIER GOMES</v>
      </c>
      <c r="F437" s="5" t="str">
        <f>_xlfn.XLOOKUP(D437,[1]!Tabela24[Código consultor],[1]!Tabela24[Canal Consultor],0,0,1)</f>
        <v>Pap</v>
      </c>
      <c r="G437" s="10" t="str">
        <f>_xlfn.XLOOKUP(B437,[1]!Tabela1[[Cidades ]],[1]!Tabela1[Regional],0,0,1)</f>
        <v>Jean</v>
      </c>
      <c r="H437" s="13" t="str">
        <f>_xlfn.XLOOKUP(B437,[1]!Tabela1[[Cidades ]],[1]!Tabela1[Gerente],0,0,1)</f>
        <v>Demais coordenadores</v>
      </c>
    </row>
    <row r="438" spans="1:8" x14ac:dyDescent="0.3">
      <c r="A438" s="4" t="s">
        <v>604</v>
      </c>
      <c r="B438" s="5" t="s">
        <v>39</v>
      </c>
      <c r="C438" s="6">
        <v>45834</v>
      </c>
      <c r="D438" s="7">
        <v>547570</v>
      </c>
      <c r="E438" s="5" t="str">
        <f>_xlfn.XLOOKUP(D438,[1]!Tabela24[Código consultor],[1]!Tabela24[Consultor Venda],0,0,1)</f>
        <v>COM - LGS - ISABEL CRISTINA RODRIGUES DE JESUS</v>
      </c>
      <c r="F438" s="5" t="str">
        <f>_xlfn.XLOOKUP(D438,[1]!Tabela24[Código consultor],[1]!Tabela24[Canal Consultor],0,0,1)</f>
        <v>INTERNO</v>
      </c>
      <c r="G438" s="5" t="str">
        <f>_xlfn.XLOOKUP(B438,[1]!Tabela1[[Cidades ]],[1]!Tabela1[Regional],0,0,1)</f>
        <v>Marcio</v>
      </c>
      <c r="H438" s="8" t="str">
        <f>_xlfn.XLOOKUP(B438,[1]!Tabela1[[Cidades ]],[1]!Tabela1[Gerente],0,0,1)</f>
        <v>Demais coordenadores</v>
      </c>
    </row>
    <row r="439" spans="1:8" x14ac:dyDescent="0.3">
      <c r="A439" s="9" t="s">
        <v>708</v>
      </c>
      <c r="B439" s="10" t="s">
        <v>45</v>
      </c>
      <c r="C439" s="11">
        <v>45834</v>
      </c>
      <c r="D439" s="12">
        <v>797768</v>
      </c>
      <c r="E439" s="5" t="str">
        <f>_xlfn.XLOOKUP(D439,[1]!Tabela24[Código consultor],[1]!Tabela24[Consultor Venda],0,0,1)</f>
        <v>PAR - PAP - MVH - DIGITAL SUL - BRUNA SANTANA DE OLIVEIRA</v>
      </c>
      <c r="F439" s="5" t="str">
        <f>_xlfn.XLOOKUP(D439,[1]!Tabela24[Código consultor],[1]!Tabela24[Canal Consultor],0,0,1)</f>
        <v>PAR_DIG</v>
      </c>
      <c r="G439" s="10" t="str">
        <f>_xlfn.XLOOKUP(B439,[1]!Tabela1[[Cidades ]],[1]!Tabela1[Regional],0,0,1)</f>
        <v>Jean</v>
      </c>
      <c r="H439" s="13" t="str">
        <f>_xlfn.XLOOKUP(B439,[1]!Tabela1[[Cidades ]],[1]!Tabela1[Gerente],0,0,1)</f>
        <v>Demais coordenadores</v>
      </c>
    </row>
    <row r="440" spans="1:8" x14ac:dyDescent="0.3">
      <c r="A440" s="4" t="s">
        <v>709</v>
      </c>
      <c r="B440" s="5" t="s">
        <v>24</v>
      </c>
      <c r="C440" s="6">
        <v>45834</v>
      </c>
      <c r="D440" s="7">
        <v>828645</v>
      </c>
      <c r="E440" s="5" t="str">
        <f>_xlfn.XLOOKUP(D440,[1]!Tabela24[Código consultor],[1]!Tabela24[Consultor Venda],0,0,1)</f>
        <v>COM - SMA - DIEGO CORDEIRO DE SOUZA</v>
      </c>
      <c r="F440" s="5" t="str">
        <f>_xlfn.XLOOKUP(D440,[1]!Tabela24[Código consultor],[1]!Tabela24[Canal Consultor],0,0,1)</f>
        <v>Pap</v>
      </c>
      <c r="G440" s="5" t="str">
        <f>_xlfn.XLOOKUP(B440,[1]!Tabela1[[Cidades ]],[1]!Tabela1[Regional],0,0,1)</f>
        <v>Magno</v>
      </c>
      <c r="H440" s="8" t="str">
        <f>_xlfn.XLOOKUP(B440,[1]!Tabela1[[Cidades ]],[1]!Tabela1[Gerente],0,0,1)</f>
        <v>Demais coordenadores</v>
      </c>
    </row>
    <row r="441" spans="1:8" x14ac:dyDescent="0.3">
      <c r="A441" s="9" t="s">
        <v>606</v>
      </c>
      <c r="B441" s="10" t="s">
        <v>19</v>
      </c>
      <c r="C441" s="11">
        <v>45834</v>
      </c>
      <c r="D441" s="12">
        <v>882296</v>
      </c>
      <c r="E441" s="5" t="str">
        <f>_xlfn.XLOOKUP(D441,[1]!Tabela24[Código consultor],[1]!Tabela24[Consultor Venda],0,0,1)</f>
        <v>COM - CHN - ANIBAL DE SOUZA NETO</v>
      </c>
      <c r="F441" s="5" t="str">
        <f>_xlfn.XLOOKUP(D441,[1]!Tabela24[Código consultor],[1]!Tabela24[Canal Consultor],0,0,1)</f>
        <v>Pap</v>
      </c>
      <c r="G441" s="10" t="str">
        <f>_xlfn.XLOOKUP(B441,[1]!Tabela1[[Cidades ]],[1]!Tabela1[Regional],0,0,1)</f>
        <v>Magno</v>
      </c>
      <c r="H441" s="13" t="str">
        <f>_xlfn.XLOOKUP(B441,[1]!Tabela1[[Cidades ]],[1]!Tabela1[Gerente],0,0,1)</f>
        <v>Demais coordenadores</v>
      </c>
    </row>
    <row r="442" spans="1:8" x14ac:dyDescent="0.3">
      <c r="A442" s="4" t="s">
        <v>607</v>
      </c>
      <c r="B442" s="5" t="s">
        <v>11</v>
      </c>
      <c r="C442" s="6">
        <v>45834</v>
      </c>
      <c r="D442" s="7">
        <v>738880</v>
      </c>
      <c r="E442" s="5" t="str">
        <f>_xlfn.XLOOKUP(D442,[1]!Tabela24[Código consultor],[1]!Tabela24[Consultor Venda],0,0,1)</f>
        <v>PAR - PAP - MUNDIALE - ANA LUIZA COUTO MATIAS</v>
      </c>
      <c r="F442" s="5" t="str">
        <f>_xlfn.XLOOKUP(D442,[1]!Tabela24[Código consultor],[1]!Tabela24[Canal Consultor],0,0,1)</f>
        <v>PAR_DIG</v>
      </c>
      <c r="G442" s="5" t="str">
        <f>_xlfn.XLOOKUP(B442,[1]!Tabela1[[Cidades ]],[1]!Tabela1[Regional],0,0,1)</f>
        <v>Magno</v>
      </c>
      <c r="H442" s="8" t="str">
        <f>_xlfn.XLOOKUP(B442,[1]!Tabela1[[Cidades ]],[1]!Tabela1[Gerente],0,0,1)</f>
        <v>Demais coordenadores</v>
      </c>
    </row>
    <row r="443" spans="1:8" x14ac:dyDescent="0.3">
      <c r="A443" s="9" t="s">
        <v>710</v>
      </c>
      <c r="B443" s="10" t="s">
        <v>30</v>
      </c>
      <c r="C443" s="11">
        <v>45834</v>
      </c>
      <c r="D443" s="12">
        <v>866752</v>
      </c>
      <c r="E443" s="5" t="str">
        <f>_xlfn.XLOOKUP(D443,[1]!Tabela24[Código consultor],[1]!Tabela24[Consultor Venda],0,0,1)</f>
        <v>COM - IGA - JULIANA CRISTINA ALVES DOS SANTOS</v>
      </c>
      <c r="F443" s="5" t="str">
        <f>_xlfn.XLOOKUP(D443,[1]!Tabela24[Código consultor],[1]!Tabela24[Canal Consultor],0,0,1)</f>
        <v>INTERNO</v>
      </c>
      <c r="G443" s="10" t="str">
        <f>_xlfn.XLOOKUP(B443,[1]!Tabela1[[Cidades ]],[1]!Tabela1[Regional],0,0,1)</f>
        <v>Jean</v>
      </c>
      <c r="H443" s="13" t="str">
        <f>_xlfn.XLOOKUP(B443,[1]!Tabela1[[Cidades ]],[1]!Tabela1[Gerente],0,0,1)</f>
        <v>Demais coordenadores</v>
      </c>
    </row>
    <row r="444" spans="1:8" x14ac:dyDescent="0.3">
      <c r="A444" s="4" t="s">
        <v>711</v>
      </c>
      <c r="B444" s="5" t="s">
        <v>10</v>
      </c>
      <c r="C444" s="6">
        <v>45834</v>
      </c>
      <c r="D444" s="7">
        <v>525458</v>
      </c>
      <c r="E444" s="5" t="str">
        <f>_xlfn.XLOOKUP(D444,[1]!Tabela24[Código consultor],[1]!Tabela24[Consultor Venda],0,0,1)</f>
        <v>PAR - ADM - GRP - FIGUEREDO MOBILE  - JOSELIO O. P. JUNIOR</v>
      </c>
      <c r="F444" s="5" t="str">
        <f>_xlfn.XLOOKUP(D444,[1]!Tabela24[Código consultor],[1]!Tabela24[Canal Consultor],0,0,1)</f>
        <v>PAR</v>
      </c>
      <c r="G444" s="5" t="str">
        <f>_xlfn.XLOOKUP(B444,[1]!Tabela1[[Cidades ]],[1]!Tabela1[Regional],0,0,1)</f>
        <v>Jean</v>
      </c>
      <c r="H444" s="8" t="str">
        <f>_xlfn.XLOOKUP(B444,[1]!Tabela1[[Cidades ]],[1]!Tabela1[Gerente],0,0,1)</f>
        <v>Demais coordenadores</v>
      </c>
    </row>
    <row r="445" spans="1:8" x14ac:dyDescent="0.3">
      <c r="A445" s="9" t="s">
        <v>712</v>
      </c>
      <c r="B445" s="10" t="s">
        <v>11</v>
      </c>
      <c r="C445" s="11">
        <v>45834</v>
      </c>
      <c r="D445" s="12">
        <v>197832</v>
      </c>
      <c r="E445" s="5" t="str">
        <f>_xlfn.XLOOKUP(D445,[1]!Tabela24[Código consultor],[1]!Tabela24[Consultor Venda],0,0,1)</f>
        <v>DIG - CCO - RAIANE BERGAMIN</v>
      </c>
      <c r="F445" s="5" t="str">
        <f>_xlfn.XLOOKUP(D445,[1]!Tabela24[Código consultor],[1]!Tabela24[Canal Consultor],0,0,1)</f>
        <v>DIGITAL</v>
      </c>
      <c r="G445" s="10" t="str">
        <f>_xlfn.XLOOKUP(B445,[1]!Tabela1[[Cidades ]],[1]!Tabela1[Regional],0,0,1)</f>
        <v>Magno</v>
      </c>
      <c r="H445" s="13" t="str">
        <f>_xlfn.XLOOKUP(B445,[1]!Tabela1[[Cidades ]],[1]!Tabela1[Gerente],0,0,1)</f>
        <v>Demais coordenadores</v>
      </c>
    </row>
    <row r="446" spans="1:8" x14ac:dyDescent="0.3">
      <c r="A446" s="4" t="s">
        <v>609</v>
      </c>
      <c r="B446" s="5" t="s">
        <v>46</v>
      </c>
      <c r="C446" s="6">
        <v>45834</v>
      </c>
      <c r="D446" s="7">
        <v>165769</v>
      </c>
      <c r="E446" s="5" t="str">
        <f>_xlfn.XLOOKUP(D446,[1]!Tabela24[Código consultor],[1]!Tabela24[Consultor Venda],0,0,1)</f>
        <v>PAR - PAP - GTI - THALIA SP - THALIA DA SILVA PEREIRA</v>
      </c>
      <c r="F446" s="5" t="str">
        <f>_xlfn.XLOOKUP(D446,[1]!Tabela24[Código consultor],[1]!Tabela24[Canal Consultor],0,0,1)</f>
        <v>PAR</v>
      </c>
      <c r="G446" s="5" t="str">
        <f>_xlfn.XLOOKUP(B446,[1]!Tabela1[[Cidades ]],[1]!Tabela1[Regional],0,0,1)</f>
        <v>Magno</v>
      </c>
      <c r="H446" s="8" t="str">
        <f>_xlfn.XLOOKUP(B446,[1]!Tabela1[[Cidades ]],[1]!Tabela1[Gerente],0,0,1)</f>
        <v>Demais coordenadores</v>
      </c>
    </row>
    <row r="447" spans="1:8" x14ac:dyDescent="0.3">
      <c r="A447" s="9" t="s">
        <v>713</v>
      </c>
      <c r="B447" s="10" t="s">
        <v>32</v>
      </c>
      <c r="C447" s="11">
        <v>45834</v>
      </c>
      <c r="D447" s="12">
        <v>867522</v>
      </c>
      <c r="E447" s="5" t="str">
        <f>_xlfn.XLOOKUP(D447,[1]!Tabela24[Código consultor],[1]!Tabela24[Consultor Venda],0,0,1)</f>
        <v>COM - IGA - SANDRO CESAR MARTINS</v>
      </c>
      <c r="F447" s="5" t="str">
        <f>_xlfn.XLOOKUP(D447,[1]!Tabela24[Código consultor],[1]!Tabela24[Canal Consultor],0,0,1)</f>
        <v>Pap</v>
      </c>
      <c r="G447" s="10" t="str">
        <f>_xlfn.XLOOKUP(B447,[1]!Tabela1[[Cidades ]],[1]!Tabela1[Regional],0,0,1)</f>
        <v>Jean</v>
      </c>
      <c r="H447" s="13" t="str">
        <f>_xlfn.XLOOKUP(B447,[1]!Tabela1[[Cidades ]],[1]!Tabela1[Gerente],0,0,1)</f>
        <v>Demais coordenadores</v>
      </c>
    </row>
    <row r="448" spans="1:8" x14ac:dyDescent="0.3">
      <c r="A448" s="4" t="s">
        <v>714</v>
      </c>
      <c r="B448" s="5" t="s">
        <v>11</v>
      </c>
      <c r="C448" s="6">
        <v>45834</v>
      </c>
      <c r="D448" s="7">
        <v>827465</v>
      </c>
      <c r="E448" s="5" t="str">
        <f>_xlfn.XLOOKUP(D448,[1]!Tabela24[Código consultor],[1]!Tabela24[Consultor Venda],0,0,1)</f>
        <v>DIG - ATV - TAINARA RODRIGUES CORDEIRO</v>
      </c>
      <c r="F448" s="5" t="str">
        <f>_xlfn.XLOOKUP(D448,[1]!Tabela24[Código consultor],[1]!Tabela24[Canal Consultor],0,0,1)</f>
        <v>Televendas Ativo</v>
      </c>
      <c r="G448" s="5" t="str">
        <f>_xlfn.XLOOKUP(B448,[1]!Tabela1[[Cidades ]],[1]!Tabela1[Regional],0,0,1)</f>
        <v>Magno</v>
      </c>
      <c r="H448" s="8" t="str">
        <f>_xlfn.XLOOKUP(B448,[1]!Tabela1[[Cidades ]],[1]!Tabela1[Gerente],0,0,1)</f>
        <v>Demais coordenadores</v>
      </c>
    </row>
    <row r="449" spans="1:8" x14ac:dyDescent="0.3">
      <c r="A449" s="9" t="s">
        <v>715</v>
      </c>
      <c r="B449" s="10" t="s">
        <v>32</v>
      </c>
      <c r="C449" s="11">
        <v>45834</v>
      </c>
      <c r="D449" s="12">
        <v>829353</v>
      </c>
      <c r="E449" s="5" t="str">
        <f>_xlfn.XLOOKUP(D449,[1]!Tabela24[Código consultor],[1]!Tabela24[Consultor Venda],0,0,1)</f>
        <v>COM - IGA - KARL EDUARDO MORAES DE ALMEIDA</v>
      </c>
      <c r="F449" s="5" t="str">
        <f>_xlfn.XLOOKUP(D449,[1]!Tabela24[Código consultor],[1]!Tabela24[Canal Consultor],0,0,1)</f>
        <v>Pap</v>
      </c>
      <c r="G449" s="10" t="str">
        <f>_xlfn.XLOOKUP(B449,[1]!Tabela1[[Cidades ]],[1]!Tabela1[Regional],0,0,1)</f>
        <v>Jean</v>
      </c>
      <c r="H449" s="13" t="str">
        <f>_xlfn.XLOOKUP(B449,[1]!Tabela1[[Cidades ]],[1]!Tabela1[Gerente],0,0,1)</f>
        <v>Demais coordenadores</v>
      </c>
    </row>
    <row r="450" spans="1:8" x14ac:dyDescent="0.3">
      <c r="A450" s="4" t="s">
        <v>716</v>
      </c>
      <c r="B450" s="5" t="s">
        <v>27</v>
      </c>
      <c r="C450" s="6">
        <v>45834</v>
      </c>
      <c r="D450" s="7">
        <v>405</v>
      </c>
      <c r="E450" s="5" t="str">
        <f>_xlfn.XLOOKUP(D450,[1]!Tabela24[Código consultor],[1]!Tabela24[Consultor Venda],0,0,1)</f>
        <v>COM - VAA - GREICE BOEIRA DA SILVA</v>
      </c>
      <c r="F450" s="5" t="str">
        <f>_xlfn.XLOOKUP(D450,[1]!Tabela24[Código consultor],[1]!Tabela24[Canal Consultor],0,0,1)</f>
        <v>INTERNO</v>
      </c>
      <c r="G450" s="5" t="str">
        <f>_xlfn.XLOOKUP(B450,[1]!Tabela1[[Cidades ]],[1]!Tabela1[Regional],0,0,1)</f>
        <v>Alisson</v>
      </c>
      <c r="H450" s="8" t="str">
        <f>_xlfn.XLOOKUP(B450,[1]!Tabela1[[Cidades ]],[1]!Tabela1[Gerente],0,0,1)</f>
        <v>Tatiane</v>
      </c>
    </row>
    <row r="451" spans="1:8" x14ac:dyDescent="0.3">
      <c r="A451" s="9" t="s">
        <v>610</v>
      </c>
      <c r="B451" s="10" t="s">
        <v>27</v>
      </c>
      <c r="C451" s="11">
        <v>45834</v>
      </c>
      <c r="D451" s="12">
        <v>172141</v>
      </c>
      <c r="E451" s="5" t="str">
        <f>_xlfn.XLOOKUP(D451,[1]!Tabela24[Código consultor],[1]!Tabela24[Consultor Venda],0,0,1)</f>
        <v>COM - VAA - KETELLE PEDROSO DA CONCEICAO</v>
      </c>
      <c r="F451" s="5" t="str">
        <f>_xlfn.XLOOKUP(D451,[1]!Tabela24[Código consultor],[1]!Tabela24[Canal Consultor],0,0,1)</f>
        <v>INTERNO</v>
      </c>
      <c r="G451" s="10" t="str">
        <f>_xlfn.XLOOKUP(B451,[1]!Tabela1[[Cidades ]],[1]!Tabela1[Regional],0,0,1)</f>
        <v>Alisson</v>
      </c>
      <c r="H451" s="13" t="str">
        <f>_xlfn.XLOOKUP(B451,[1]!Tabela1[[Cidades ]],[1]!Tabela1[Gerente],0,0,1)</f>
        <v>Tatiane</v>
      </c>
    </row>
    <row r="452" spans="1:8" x14ac:dyDescent="0.3">
      <c r="A452" s="4" t="s">
        <v>717</v>
      </c>
      <c r="B452" s="5" t="s">
        <v>11</v>
      </c>
      <c r="C452" s="6">
        <v>45834</v>
      </c>
      <c r="D452" s="7">
        <v>861705</v>
      </c>
      <c r="E452" s="5" t="str">
        <f>_xlfn.XLOOKUP(D452,[1]!Tabela24[Código consultor],[1]!Tabela24[Consultor Venda],0,0,1)</f>
        <v>PAR - COM - PAP - TQR - ERIKA DE OLIVEIRA GALLE</v>
      </c>
      <c r="F452" s="5" t="str">
        <f>_xlfn.XLOOKUP(D452,[1]!Tabela24[Código consultor],[1]!Tabela24[Canal Consultor],0,0,1)</f>
        <v>PAR</v>
      </c>
      <c r="G452" s="5" t="str">
        <f>_xlfn.XLOOKUP(B452,[1]!Tabela1[[Cidades ]],[1]!Tabela1[Regional],0,0,1)</f>
        <v>Magno</v>
      </c>
      <c r="H452" s="8" t="str">
        <f>_xlfn.XLOOKUP(B452,[1]!Tabela1[[Cidades ]],[1]!Tabela1[Gerente],0,0,1)</f>
        <v>Demais coordenadores</v>
      </c>
    </row>
    <row r="453" spans="1:8" x14ac:dyDescent="0.3">
      <c r="A453" s="9" t="s">
        <v>718</v>
      </c>
      <c r="B453" s="10" t="s">
        <v>13</v>
      </c>
      <c r="C453" s="11">
        <v>45834</v>
      </c>
      <c r="D453" s="12">
        <v>827465</v>
      </c>
      <c r="E453" s="5" t="str">
        <f>_xlfn.XLOOKUP(D453,[1]!Tabela24[Código consultor],[1]!Tabela24[Consultor Venda],0,0,1)</f>
        <v>DIG - ATV - TAINARA RODRIGUES CORDEIRO</v>
      </c>
      <c r="F453" s="5" t="str">
        <f>_xlfn.XLOOKUP(D453,[1]!Tabela24[Código consultor],[1]!Tabela24[Canal Consultor],0,0,1)</f>
        <v>Televendas Ativo</v>
      </c>
      <c r="G453" s="10" t="str">
        <f>_xlfn.XLOOKUP(B453,[1]!Tabela1[[Cidades ]],[1]!Tabela1[Regional],0,0,1)</f>
        <v>Alisson</v>
      </c>
      <c r="H453" s="13" t="str">
        <f>_xlfn.XLOOKUP(B453,[1]!Tabela1[[Cidades ]],[1]!Tabela1[Gerente],0,0,1)</f>
        <v>Ariana</v>
      </c>
    </row>
    <row r="454" spans="1:8" x14ac:dyDescent="0.3">
      <c r="A454" s="4" t="s">
        <v>719</v>
      </c>
      <c r="B454" s="5" t="s">
        <v>32</v>
      </c>
      <c r="C454" s="6">
        <v>45834</v>
      </c>
      <c r="D454" s="7">
        <v>576121</v>
      </c>
      <c r="E454" s="5" t="str">
        <f>_xlfn.XLOOKUP(D454,[1]!Tabela24[Código consultor],[1]!Tabela24[Consultor Venda],0,0,1)</f>
        <v>COM - IGA - LEONARDO XAVIER GOMES</v>
      </c>
      <c r="F454" s="5" t="str">
        <f>_xlfn.XLOOKUP(D454,[1]!Tabela24[Código consultor],[1]!Tabela24[Canal Consultor],0,0,1)</f>
        <v>Pap</v>
      </c>
      <c r="G454" s="5" t="str">
        <f>_xlfn.XLOOKUP(B454,[1]!Tabela1[[Cidades ]],[1]!Tabela1[Regional],0,0,1)</f>
        <v>Jean</v>
      </c>
      <c r="H454" s="8" t="str">
        <f>_xlfn.XLOOKUP(B454,[1]!Tabela1[[Cidades ]],[1]!Tabela1[Gerente],0,0,1)</f>
        <v>Demais coordenadores</v>
      </c>
    </row>
    <row r="455" spans="1:8" x14ac:dyDescent="0.3">
      <c r="A455" s="9" t="s">
        <v>720</v>
      </c>
      <c r="B455" s="10" t="s">
        <v>39</v>
      </c>
      <c r="C455" s="11">
        <v>45834</v>
      </c>
      <c r="D455" s="12">
        <v>547570</v>
      </c>
      <c r="E455" s="5" t="str">
        <f>_xlfn.XLOOKUP(D455,[1]!Tabela24[Código consultor],[1]!Tabela24[Consultor Venda],0,0,1)</f>
        <v>COM - LGS - ISABEL CRISTINA RODRIGUES DE JESUS</v>
      </c>
      <c r="F455" s="5" t="str">
        <f>_xlfn.XLOOKUP(D455,[1]!Tabela24[Código consultor],[1]!Tabela24[Canal Consultor],0,0,1)</f>
        <v>INTERNO</v>
      </c>
      <c r="G455" s="10" t="str">
        <f>_xlfn.XLOOKUP(B455,[1]!Tabela1[[Cidades ]],[1]!Tabela1[Regional],0,0,1)</f>
        <v>Marcio</v>
      </c>
      <c r="H455" s="13" t="str">
        <f>_xlfn.XLOOKUP(B455,[1]!Tabela1[[Cidades ]],[1]!Tabela1[Gerente],0,0,1)</f>
        <v>Demais coordenadores</v>
      </c>
    </row>
    <row r="456" spans="1:8" x14ac:dyDescent="0.3">
      <c r="A456" s="4" t="s">
        <v>721</v>
      </c>
      <c r="B456" s="5" t="s">
        <v>8</v>
      </c>
      <c r="C456" s="6">
        <v>45834</v>
      </c>
      <c r="D456" s="7">
        <v>725079</v>
      </c>
      <c r="E456" s="5" t="str">
        <f>_xlfn.XLOOKUP(D456,[1]!Tabela24[Código consultor],[1]!Tabela24[Consultor Venda],0,0,1)</f>
        <v>COM - UMR  - WENDY CAROLINE PELEGRINI</v>
      </c>
      <c r="F456" s="5" t="str">
        <f>_xlfn.XLOOKUP(D456,[1]!Tabela24[Código consultor],[1]!Tabela24[Canal Consultor],0,0,1)</f>
        <v>INTERNO</v>
      </c>
      <c r="G456" s="5" t="str">
        <f>_xlfn.XLOOKUP(B456,[1]!Tabela1[[Cidades ]],[1]!Tabela1[Regional],0,0,1)</f>
        <v>Adilson</v>
      </c>
      <c r="H456" s="8" t="str">
        <f>_xlfn.XLOOKUP(B456,[1]!Tabela1[[Cidades ]],[1]!Tabela1[Gerente],0,0,1)</f>
        <v>Demais coordenadores</v>
      </c>
    </row>
    <row r="457" spans="1:8" x14ac:dyDescent="0.3">
      <c r="A457" s="9" t="s">
        <v>611</v>
      </c>
      <c r="B457" s="10" t="s">
        <v>17</v>
      </c>
      <c r="C457" s="11">
        <v>45834</v>
      </c>
      <c r="D457" s="12">
        <v>404528</v>
      </c>
      <c r="E457" s="5" t="str">
        <f>_xlfn.XLOOKUP(D457,[1]!Tabela24[Código consultor],[1]!Tabela24[Consultor Venda],0,0,1)</f>
        <v>COM - ERE - PATRICIA LAUTERT PIOTROWSKY</v>
      </c>
      <c r="F457" s="5" t="str">
        <f>_xlfn.XLOOKUP(D457,[1]!Tabela24[Código consultor],[1]!Tabela24[Canal Consultor],0,0,1)</f>
        <v>INTERNO</v>
      </c>
      <c r="G457" s="10" t="str">
        <f>_xlfn.XLOOKUP(B457,[1]!Tabela1[[Cidades ]],[1]!Tabela1[Regional],0,0,1)</f>
        <v>Alisson</v>
      </c>
      <c r="H457" s="13" t="str">
        <f>_xlfn.XLOOKUP(B457,[1]!Tabela1[[Cidades ]],[1]!Tabela1[Gerente],0,0,1)</f>
        <v>Ariana</v>
      </c>
    </row>
    <row r="458" spans="1:8" x14ac:dyDescent="0.3">
      <c r="A458" s="4" t="s">
        <v>722</v>
      </c>
      <c r="B458" s="5" t="s">
        <v>87</v>
      </c>
      <c r="C458" s="6">
        <v>45834</v>
      </c>
      <c r="D458" s="7">
        <v>694166</v>
      </c>
      <c r="E458" s="5" t="str">
        <f>_xlfn.XLOOKUP(D458,[1]!Tabela24[Código consultor],[1]!Tabela24[Consultor Venda],0,0,1)</f>
        <v>DIG - CCO - CARINE CORREA SOARES</v>
      </c>
      <c r="F458" s="5" t="str">
        <f>_xlfn.XLOOKUP(D458,[1]!Tabela24[Código consultor],[1]!Tabela24[Canal Consultor],0,0,1)</f>
        <v>DIGITAL</v>
      </c>
      <c r="G458" s="5" t="str">
        <f>_xlfn.XLOOKUP(B458,[1]!Tabela1[[Cidades ]],[1]!Tabela1[Regional],0,0,1)</f>
        <v>Maycon</v>
      </c>
      <c r="H458" s="8" t="str">
        <f>_xlfn.XLOOKUP(B458,[1]!Tabela1[[Cidades ]],[1]!Tabela1[Gerente],0,0,1)</f>
        <v>Demais coordenadores</v>
      </c>
    </row>
    <row r="459" spans="1:8" x14ac:dyDescent="0.3">
      <c r="A459" s="9" t="s">
        <v>723</v>
      </c>
      <c r="B459" s="10" t="s">
        <v>44</v>
      </c>
      <c r="C459" s="11">
        <v>45834</v>
      </c>
      <c r="D459" s="12">
        <v>713743</v>
      </c>
      <c r="E459" s="5" t="str">
        <f>_xlfn.XLOOKUP(D459,[1]!Tabela24[Código consultor],[1]!Tabela24[Consultor Venda],0,0,1)</f>
        <v>ATN - IRI - LETICIA RAIANE GORTE MARQUES</v>
      </c>
      <c r="F459" s="5" t="str">
        <f>_xlfn.XLOOKUP(D459,[1]!Tabela24[Código consultor],[1]!Tabela24[Canal Consultor],0,0,1)</f>
        <v>INTERNO</v>
      </c>
      <c r="G459" s="10" t="str">
        <f>_xlfn.XLOOKUP(B459,[1]!Tabela1[[Cidades ]],[1]!Tabela1[Regional],0,0,1)</f>
        <v>Jean</v>
      </c>
      <c r="H459" s="13" t="str">
        <f>_xlfn.XLOOKUP(B459,[1]!Tabela1[[Cidades ]],[1]!Tabela1[Gerente],0,0,1)</f>
        <v>Demais coordenadores</v>
      </c>
    </row>
    <row r="460" spans="1:8" x14ac:dyDescent="0.3">
      <c r="A460" s="4" t="s">
        <v>614</v>
      </c>
      <c r="B460" s="5" t="s">
        <v>61</v>
      </c>
      <c r="C460" s="6">
        <v>45834</v>
      </c>
      <c r="D460" s="7">
        <v>788656</v>
      </c>
      <c r="E460" s="5" t="str">
        <f>_xlfn.XLOOKUP(D460,[1]!Tabela24[Código consultor],[1]!Tabela24[Consultor Venda],0,0,1)</f>
        <v>PAR - STB - PAP - JOY TELECOM - GABRIELA ALVES DE GODOY</v>
      </c>
      <c r="F460" s="5" t="str">
        <f>_xlfn.XLOOKUP(D460,[1]!Tabela24[Código consultor],[1]!Tabela24[Canal Consultor],0,0,1)</f>
        <v>PAR_DIG</v>
      </c>
      <c r="G460" s="5" t="str">
        <f>_xlfn.XLOOKUP(B460,[1]!Tabela1[[Cidades ]],[1]!Tabela1[Regional],0,0,1)</f>
        <v>Maycon</v>
      </c>
      <c r="H460" s="8" t="str">
        <f>_xlfn.XLOOKUP(B460,[1]!Tabela1[[Cidades ]],[1]!Tabela1[Gerente],0,0,1)</f>
        <v>Demais coordenadores</v>
      </c>
    </row>
    <row r="461" spans="1:8" x14ac:dyDescent="0.3">
      <c r="A461" s="9" t="s">
        <v>724</v>
      </c>
      <c r="B461" s="10" t="s">
        <v>19</v>
      </c>
      <c r="C461" s="11">
        <v>45834</v>
      </c>
      <c r="D461" s="12">
        <v>882296</v>
      </c>
      <c r="E461" s="5" t="str">
        <f>_xlfn.XLOOKUP(D461,[1]!Tabela24[Código consultor],[1]!Tabela24[Consultor Venda],0,0,1)</f>
        <v>COM - CHN - ANIBAL DE SOUZA NETO</v>
      </c>
      <c r="F461" s="5" t="str">
        <f>_xlfn.XLOOKUP(D461,[1]!Tabela24[Código consultor],[1]!Tabela24[Canal Consultor],0,0,1)</f>
        <v>Pap</v>
      </c>
      <c r="G461" s="10" t="str">
        <f>_xlfn.XLOOKUP(B461,[1]!Tabela1[[Cidades ]],[1]!Tabela1[Regional],0,0,1)</f>
        <v>Magno</v>
      </c>
      <c r="H461" s="13" t="str">
        <f>_xlfn.XLOOKUP(B461,[1]!Tabela1[[Cidades ]],[1]!Tabela1[Gerente],0,0,1)</f>
        <v>Demais coordenadores</v>
      </c>
    </row>
    <row r="462" spans="1:8" x14ac:dyDescent="0.3">
      <c r="A462" s="4" t="s">
        <v>725</v>
      </c>
      <c r="B462" s="5" t="s">
        <v>11</v>
      </c>
      <c r="C462" s="6">
        <v>45834</v>
      </c>
      <c r="D462" s="7">
        <v>738880</v>
      </c>
      <c r="E462" s="5" t="str">
        <f>_xlfn.XLOOKUP(D462,[1]!Tabela24[Código consultor],[1]!Tabela24[Consultor Venda],0,0,1)</f>
        <v>PAR - PAP - MUNDIALE - ANA LUIZA COUTO MATIAS</v>
      </c>
      <c r="F462" s="5" t="str">
        <f>_xlfn.XLOOKUP(D462,[1]!Tabela24[Código consultor],[1]!Tabela24[Canal Consultor],0,0,1)</f>
        <v>PAR_DIG</v>
      </c>
      <c r="G462" s="5" t="str">
        <f>_xlfn.XLOOKUP(B462,[1]!Tabela1[[Cidades ]],[1]!Tabela1[Regional],0,0,1)</f>
        <v>Magno</v>
      </c>
      <c r="H462" s="8" t="str">
        <f>_xlfn.XLOOKUP(B462,[1]!Tabela1[[Cidades ]],[1]!Tabela1[Gerente],0,0,1)</f>
        <v>Demais coordenadores</v>
      </c>
    </row>
    <row r="463" spans="1:8" x14ac:dyDescent="0.3">
      <c r="A463" s="9" t="s">
        <v>726</v>
      </c>
      <c r="B463" s="10" t="s">
        <v>91</v>
      </c>
      <c r="C463" s="11">
        <v>45834</v>
      </c>
      <c r="D463" s="12">
        <v>829353</v>
      </c>
      <c r="E463" s="5" t="str">
        <f>_xlfn.XLOOKUP(D463,[1]!Tabela24[Código consultor],[1]!Tabela24[Consultor Venda],0,0,1)</f>
        <v>COM - IGA - KARL EDUARDO MORAES DE ALMEIDA</v>
      </c>
      <c r="F463" s="5" t="str">
        <f>_xlfn.XLOOKUP(D463,[1]!Tabela24[Código consultor],[1]!Tabela24[Canal Consultor],0,0,1)</f>
        <v>Pap</v>
      </c>
      <c r="G463" s="10" t="str">
        <f>_xlfn.XLOOKUP(B463,[1]!Tabela1[[Cidades ]],[1]!Tabela1[Regional],0,0,1)</f>
        <v>Jean</v>
      </c>
      <c r="H463" s="13" t="str">
        <f>_xlfn.XLOOKUP(B463,[1]!Tabela1[[Cidades ]],[1]!Tabela1[Gerente],0,0,1)</f>
        <v>Demais coordenadores</v>
      </c>
    </row>
    <row r="464" spans="1:8" x14ac:dyDescent="0.3">
      <c r="A464" s="4" t="s">
        <v>727</v>
      </c>
      <c r="B464" s="5" t="s">
        <v>19</v>
      </c>
      <c r="C464" s="6">
        <v>45834</v>
      </c>
      <c r="D464" s="7">
        <v>653931</v>
      </c>
      <c r="E464" s="5" t="str">
        <f>_xlfn.XLOOKUP(D464,[1]!Tabela24[Código consultor],[1]!Tabela24[Consultor Venda],0,0,1)</f>
        <v>COM - CHN - SANTIAGO DA SILVA RODRIGUES</v>
      </c>
      <c r="F464" s="5" t="str">
        <f>_xlfn.XLOOKUP(D464,[1]!Tabela24[Código consultor],[1]!Tabela24[Canal Consultor],0,0,1)</f>
        <v>Pap</v>
      </c>
      <c r="G464" s="5" t="str">
        <f>_xlfn.XLOOKUP(B464,[1]!Tabela1[[Cidades ]],[1]!Tabela1[Regional],0,0,1)</f>
        <v>Magno</v>
      </c>
      <c r="H464" s="8" t="str">
        <f>_xlfn.XLOOKUP(B464,[1]!Tabela1[[Cidades ]],[1]!Tabela1[Gerente],0,0,1)</f>
        <v>Demais coordenadores</v>
      </c>
    </row>
    <row r="465" spans="1:8" x14ac:dyDescent="0.3">
      <c r="A465" s="9" t="s">
        <v>728</v>
      </c>
      <c r="B465" s="10" t="s">
        <v>11</v>
      </c>
      <c r="C465" s="11">
        <v>45834</v>
      </c>
      <c r="D465" s="12">
        <v>738880</v>
      </c>
      <c r="E465" s="5" t="str">
        <f>_xlfn.XLOOKUP(D465,[1]!Tabela24[Código consultor],[1]!Tabela24[Consultor Venda],0,0,1)</f>
        <v>PAR - PAP - MUNDIALE - ANA LUIZA COUTO MATIAS</v>
      </c>
      <c r="F465" s="5" t="str">
        <f>_xlfn.XLOOKUP(D465,[1]!Tabela24[Código consultor],[1]!Tabela24[Canal Consultor],0,0,1)</f>
        <v>PAR_DIG</v>
      </c>
      <c r="G465" s="10" t="str">
        <f>_xlfn.XLOOKUP(B465,[1]!Tabela1[[Cidades ]],[1]!Tabela1[Regional],0,0,1)</f>
        <v>Magno</v>
      </c>
      <c r="H465" s="13" t="str">
        <f>_xlfn.XLOOKUP(B465,[1]!Tabela1[[Cidades ]],[1]!Tabela1[Gerente],0,0,1)</f>
        <v>Demais coordenadores</v>
      </c>
    </row>
    <row r="466" spans="1:8" x14ac:dyDescent="0.3">
      <c r="A466" s="4" t="s">
        <v>729</v>
      </c>
      <c r="B466" s="5" t="s">
        <v>16</v>
      </c>
      <c r="C466" s="6">
        <v>45834</v>
      </c>
      <c r="D466" s="7">
        <v>165769</v>
      </c>
      <c r="E466" s="5" t="str">
        <f>_xlfn.XLOOKUP(D466,[1]!Tabela24[Código consultor],[1]!Tabela24[Consultor Venda],0,0,1)</f>
        <v>PAR - PAP - GTI - THALIA SP - THALIA DA SILVA PEREIRA</v>
      </c>
      <c r="F466" s="5" t="str">
        <f>_xlfn.XLOOKUP(D466,[1]!Tabela24[Código consultor],[1]!Tabela24[Canal Consultor],0,0,1)</f>
        <v>PAR</v>
      </c>
      <c r="G466" s="5" t="str">
        <f>_xlfn.XLOOKUP(B466,[1]!Tabela1[[Cidades ]],[1]!Tabela1[Regional],0,0,1)</f>
        <v>Magno</v>
      </c>
      <c r="H466" s="8" t="str">
        <f>_xlfn.XLOOKUP(B466,[1]!Tabela1[[Cidades ]],[1]!Tabela1[Gerente],0,0,1)</f>
        <v>Demais coordenadores</v>
      </c>
    </row>
    <row r="467" spans="1:8" x14ac:dyDescent="0.3">
      <c r="A467" s="9" t="s">
        <v>616</v>
      </c>
      <c r="B467" s="10" t="s">
        <v>38</v>
      </c>
      <c r="C467" s="11">
        <v>45834</v>
      </c>
      <c r="D467" s="12">
        <v>843112</v>
      </c>
      <c r="E467" s="5" t="str">
        <f>_xlfn.XLOOKUP(D467,[1]!Tabela24[Código consultor],[1]!Tabela24[Consultor Venda],0,0,1)</f>
        <v>COM - TEB - SANDRO GIMONSKI DE SOUZA</v>
      </c>
      <c r="F467" s="5" t="str">
        <f>_xlfn.XLOOKUP(D467,[1]!Tabela24[Código consultor],[1]!Tabela24[Canal Consultor],0,0,1)</f>
        <v>Pap</v>
      </c>
      <c r="G467" s="10" t="str">
        <f>_xlfn.XLOOKUP(B467,[1]!Tabela1[[Cidades ]],[1]!Tabela1[Regional],0,0,1)</f>
        <v>Jean</v>
      </c>
      <c r="H467" s="13" t="str">
        <f>_xlfn.XLOOKUP(B467,[1]!Tabela1[[Cidades ]],[1]!Tabela1[Gerente],0,0,1)</f>
        <v>Demais coordenadores</v>
      </c>
    </row>
    <row r="468" spans="1:8" x14ac:dyDescent="0.3">
      <c r="A468" s="4" t="s">
        <v>730</v>
      </c>
      <c r="B468" s="5" t="s">
        <v>10</v>
      </c>
      <c r="C468" s="6">
        <v>45834</v>
      </c>
      <c r="D468" s="7">
        <v>233138</v>
      </c>
      <c r="E468" s="5" t="str">
        <f>_xlfn.XLOOKUP(D468,[1]!Tabela24[Código consultor],[1]!Tabela24[Consultor Venda],0,0,1)</f>
        <v>PAR - INTE - GRP - MOBILE HD - ALINE KARNOSKI</v>
      </c>
      <c r="F468" s="5" t="str">
        <f>_xlfn.XLOOKUP(D468,[1]!Tabela24[Código consultor],[1]!Tabela24[Canal Consultor],0,0,1)</f>
        <v>PAR</v>
      </c>
      <c r="G468" s="5" t="str">
        <f>_xlfn.XLOOKUP(B468,[1]!Tabela1[[Cidades ]],[1]!Tabela1[Regional],0,0,1)</f>
        <v>Jean</v>
      </c>
      <c r="H468" s="8" t="str">
        <f>_xlfn.XLOOKUP(B468,[1]!Tabela1[[Cidades ]],[1]!Tabela1[Gerente],0,0,1)</f>
        <v>Demais coordenadores</v>
      </c>
    </row>
    <row r="469" spans="1:8" x14ac:dyDescent="0.3">
      <c r="A469" s="9" t="s">
        <v>731</v>
      </c>
      <c r="B469" s="10" t="s">
        <v>13</v>
      </c>
      <c r="C469" s="11">
        <v>45834</v>
      </c>
      <c r="D469" s="12">
        <v>882331</v>
      </c>
      <c r="E469" s="5" t="str">
        <f>_xlfn.XLOOKUP(D469,[1]!Tabela24[Código consultor],[1]!Tabela24[Consultor Venda],0,0,1)</f>
        <v>DIG - CCO - SABRINA LUIZA BANDEIRA</v>
      </c>
      <c r="F469" s="5" t="str">
        <f>_xlfn.XLOOKUP(D469,[1]!Tabela24[Código consultor],[1]!Tabela24[Canal Consultor],0,0,1)</f>
        <v>DIGITAL</v>
      </c>
      <c r="G469" s="10" t="str">
        <f>_xlfn.XLOOKUP(B469,[1]!Tabela1[[Cidades ]],[1]!Tabela1[Regional],0,0,1)</f>
        <v>Alisson</v>
      </c>
      <c r="H469" s="13" t="str">
        <f>_xlfn.XLOOKUP(B469,[1]!Tabela1[[Cidades ]],[1]!Tabela1[Gerente],0,0,1)</f>
        <v>Ariana</v>
      </c>
    </row>
    <row r="470" spans="1:8" x14ac:dyDescent="0.3">
      <c r="A470" s="4" t="s">
        <v>617</v>
      </c>
      <c r="B470" s="5" t="s">
        <v>78</v>
      </c>
      <c r="C470" s="6">
        <v>45834</v>
      </c>
      <c r="D470" s="7">
        <v>529843</v>
      </c>
      <c r="E470" s="5" t="str">
        <f>_xlfn.XLOOKUP(D470,[1]!Tabela24[Código consultor],[1]!Tabela24[Consultor Venda],0,0,1)</f>
        <v>B2B - VALTER ARALDI JUNIOR</v>
      </c>
      <c r="F470" s="5" t="str">
        <f>_xlfn.XLOOKUP(D470,[1]!Tabela24[Código consultor],[1]!Tabela24[Canal Consultor],0,0,1)</f>
        <v>PAR_DIG</v>
      </c>
      <c r="G470" s="5" t="str">
        <f>_xlfn.XLOOKUP(B470,[1]!Tabela1[[Cidades ]],[1]!Tabela1[Regional],0,0,1)</f>
        <v>Alisson</v>
      </c>
      <c r="H470" s="8" t="str">
        <f>_xlfn.XLOOKUP(B470,[1]!Tabela1[[Cidades ]],[1]!Tabela1[Gerente],0,0,1)</f>
        <v>Karine</v>
      </c>
    </row>
    <row r="471" spans="1:8" x14ac:dyDescent="0.3">
      <c r="A471" s="9" t="s">
        <v>732</v>
      </c>
      <c r="B471" s="10" t="s">
        <v>53</v>
      </c>
      <c r="C471" s="11">
        <v>45834</v>
      </c>
      <c r="D471" s="12">
        <v>844068</v>
      </c>
      <c r="E471" s="5" t="str">
        <f>_xlfn.XLOOKUP(D471,[1]!Tabela24[Código consultor],[1]!Tabela24[Consultor Venda],0,0,1)</f>
        <v>COM - DOS - GABRIEL SPINDOLA RAMOS CORREA</v>
      </c>
      <c r="F471" s="5" t="str">
        <f>_xlfn.XLOOKUP(D471,[1]!Tabela24[Código consultor],[1]!Tabela24[Canal Consultor],0,0,1)</f>
        <v>Pap</v>
      </c>
      <c r="G471" s="10" t="str">
        <f>_xlfn.XLOOKUP(B471,[1]!Tabela1[[Cidades ]],[1]!Tabela1[Regional],0,0,1)</f>
        <v>Adilson</v>
      </c>
      <c r="H471" s="13" t="str">
        <f>_xlfn.XLOOKUP(B471,[1]!Tabela1[[Cidades ]],[1]!Tabela1[Gerente],0,0,1)</f>
        <v>Demais coordenadores</v>
      </c>
    </row>
    <row r="472" spans="1:8" x14ac:dyDescent="0.3">
      <c r="A472" s="4" t="s">
        <v>733</v>
      </c>
      <c r="B472" s="5" t="s">
        <v>19</v>
      </c>
      <c r="C472" s="6">
        <v>45834</v>
      </c>
      <c r="D472" s="7">
        <v>653931</v>
      </c>
      <c r="E472" s="5" t="str">
        <f>_xlfn.XLOOKUP(D472,[1]!Tabela24[Código consultor],[1]!Tabela24[Consultor Venda],0,0,1)</f>
        <v>COM - CHN - SANTIAGO DA SILVA RODRIGUES</v>
      </c>
      <c r="F472" s="5" t="str">
        <f>_xlfn.XLOOKUP(D472,[1]!Tabela24[Código consultor],[1]!Tabela24[Canal Consultor],0,0,1)</f>
        <v>Pap</v>
      </c>
      <c r="G472" s="5" t="str">
        <f>_xlfn.XLOOKUP(B472,[1]!Tabela1[[Cidades ]],[1]!Tabela1[Regional],0,0,1)</f>
        <v>Magno</v>
      </c>
      <c r="H472" s="8" t="str">
        <f>_xlfn.XLOOKUP(B472,[1]!Tabela1[[Cidades ]],[1]!Tabela1[Gerente],0,0,1)</f>
        <v>Demais coordenadores</v>
      </c>
    </row>
    <row r="473" spans="1:8" x14ac:dyDescent="0.3">
      <c r="A473" s="9" t="s">
        <v>618</v>
      </c>
      <c r="B473" s="10" t="s">
        <v>24</v>
      </c>
      <c r="C473" s="11">
        <v>45834</v>
      </c>
      <c r="D473" s="12">
        <v>197832</v>
      </c>
      <c r="E473" s="5" t="str">
        <f>_xlfn.XLOOKUP(D473,[1]!Tabela24[Código consultor],[1]!Tabela24[Consultor Venda],0,0,1)</f>
        <v>DIG - CCO - RAIANE BERGAMIN</v>
      </c>
      <c r="F473" s="5" t="str">
        <f>_xlfn.XLOOKUP(D473,[1]!Tabela24[Código consultor],[1]!Tabela24[Canal Consultor],0,0,1)</f>
        <v>DIGITAL</v>
      </c>
      <c r="G473" s="10" t="str">
        <f>_xlfn.XLOOKUP(B473,[1]!Tabela1[[Cidades ]],[1]!Tabela1[Regional],0,0,1)</f>
        <v>Magno</v>
      </c>
      <c r="H473" s="13" t="str">
        <f>_xlfn.XLOOKUP(B473,[1]!Tabela1[[Cidades ]],[1]!Tabela1[Gerente],0,0,1)</f>
        <v>Demais coordenadores</v>
      </c>
    </row>
    <row r="474" spans="1:8" x14ac:dyDescent="0.3">
      <c r="A474" s="4" t="s">
        <v>619</v>
      </c>
      <c r="B474" s="5" t="s">
        <v>11</v>
      </c>
      <c r="C474" s="6">
        <v>45834</v>
      </c>
      <c r="D474" s="7">
        <v>694166</v>
      </c>
      <c r="E474" s="5" t="str">
        <f>_xlfn.XLOOKUP(D474,[1]!Tabela24[Código consultor],[1]!Tabela24[Consultor Venda],0,0,1)</f>
        <v>DIG - CCO - CARINE CORREA SOARES</v>
      </c>
      <c r="F474" s="5" t="str">
        <f>_xlfn.XLOOKUP(D474,[1]!Tabela24[Código consultor],[1]!Tabela24[Canal Consultor],0,0,1)</f>
        <v>DIGITAL</v>
      </c>
      <c r="G474" s="5" t="str">
        <f>_xlfn.XLOOKUP(B474,[1]!Tabela1[[Cidades ]],[1]!Tabela1[Regional],0,0,1)</f>
        <v>Magno</v>
      </c>
      <c r="H474" s="8" t="str">
        <f>_xlfn.XLOOKUP(B474,[1]!Tabela1[[Cidades ]],[1]!Tabela1[Gerente],0,0,1)</f>
        <v>Demais coordenadores</v>
      </c>
    </row>
    <row r="475" spans="1:8" x14ac:dyDescent="0.3">
      <c r="A475" s="9" t="s">
        <v>734</v>
      </c>
      <c r="B475" s="10" t="s">
        <v>44</v>
      </c>
      <c r="C475" s="11">
        <v>45834</v>
      </c>
      <c r="D475" s="12">
        <v>713743</v>
      </c>
      <c r="E475" s="5" t="str">
        <f>_xlfn.XLOOKUP(D475,[1]!Tabela24[Código consultor],[1]!Tabela24[Consultor Venda],0,0,1)</f>
        <v>ATN - IRI - LETICIA RAIANE GORTE MARQUES</v>
      </c>
      <c r="F475" s="5" t="str">
        <f>_xlfn.XLOOKUP(D475,[1]!Tabela24[Código consultor],[1]!Tabela24[Canal Consultor],0,0,1)</f>
        <v>INTERNO</v>
      </c>
      <c r="G475" s="10" t="str">
        <f>_xlfn.XLOOKUP(B475,[1]!Tabela1[[Cidades ]],[1]!Tabela1[Regional],0,0,1)</f>
        <v>Jean</v>
      </c>
      <c r="H475" s="13" t="str">
        <f>_xlfn.XLOOKUP(B475,[1]!Tabela1[[Cidades ]],[1]!Tabela1[Gerente],0,0,1)</f>
        <v>Demais coordenadores</v>
      </c>
    </row>
    <row r="476" spans="1:8" x14ac:dyDescent="0.3">
      <c r="A476" s="4" t="s">
        <v>620</v>
      </c>
      <c r="B476" s="5" t="s">
        <v>32</v>
      </c>
      <c r="C476" s="6">
        <v>45834</v>
      </c>
      <c r="D476" s="7">
        <v>873643</v>
      </c>
      <c r="E476" s="5" t="str">
        <f>_xlfn.XLOOKUP(D476,[1]!Tabela24[Código consultor],[1]!Tabela24[Consultor Venda],0,0,1)</f>
        <v>COM - IGA - EMILI JULIANA DE OLIVEIRA SOUTO</v>
      </c>
      <c r="F476" s="5" t="str">
        <f>_xlfn.XLOOKUP(D476,[1]!Tabela24[Código consultor],[1]!Tabela24[Canal Consultor],0,0,1)</f>
        <v>INTERNO</v>
      </c>
      <c r="G476" s="5" t="str">
        <f>_xlfn.XLOOKUP(B476,[1]!Tabela1[[Cidades ]],[1]!Tabela1[Regional],0,0,1)</f>
        <v>Jean</v>
      </c>
      <c r="H476" s="8" t="str">
        <f>_xlfn.XLOOKUP(B476,[1]!Tabela1[[Cidades ]],[1]!Tabela1[Gerente],0,0,1)</f>
        <v>Demais coordenadores</v>
      </c>
    </row>
    <row r="477" spans="1:8" x14ac:dyDescent="0.3">
      <c r="A477" s="9" t="s">
        <v>621</v>
      </c>
      <c r="B477" s="10" t="s">
        <v>33</v>
      </c>
      <c r="C477" s="11">
        <v>45834</v>
      </c>
      <c r="D477" s="12">
        <v>785577</v>
      </c>
      <c r="E477" s="5" t="str">
        <f>_xlfn.XLOOKUP(D477,[1]!Tabela24[Código consultor],[1]!Tabela24[Consultor Venda],0,0,1)</f>
        <v>COM - XXE - LUCIA HELENA RAMOS KOTHE</v>
      </c>
      <c r="F477" s="5" t="str">
        <f>_xlfn.XLOOKUP(D477,[1]!Tabela24[Código consultor],[1]!Tabela24[Canal Consultor],0,0,1)</f>
        <v>INTERNO</v>
      </c>
      <c r="G477" s="10" t="str">
        <f>_xlfn.XLOOKUP(B477,[1]!Tabela1[[Cidades ]],[1]!Tabela1[Regional],0,0,1)</f>
        <v>Maycon</v>
      </c>
      <c r="H477" s="13" t="str">
        <f>_xlfn.XLOOKUP(B477,[1]!Tabela1[[Cidades ]],[1]!Tabela1[Gerente],0,0,1)</f>
        <v>Demais coordenadores</v>
      </c>
    </row>
    <row r="478" spans="1:8" x14ac:dyDescent="0.3">
      <c r="A478" s="4" t="s">
        <v>735</v>
      </c>
      <c r="B478" s="5" t="s">
        <v>10</v>
      </c>
      <c r="C478" s="6">
        <v>45834</v>
      </c>
      <c r="D478" s="7">
        <v>197832</v>
      </c>
      <c r="E478" s="5" t="str">
        <f>_xlfn.XLOOKUP(D478,[1]!Tabela24[Código consultor],[1]!Tabela24[Consultor Venda],0,0,1)</f>
        <v>DIG - CCO - RAIANE BERGAMIN</v>
      </c>
      <c r="F478" s="5" t="str">
        <f>_xlfn.XLOOKUP(D478,[1]!Tabela24[Código consultor],[1]!Tabela24[Canal Consultor],0,0,1)</f>
        <v>DIGITAL</v>
      </c>
      <c r="G478" s="5" t="str">
        <f>_xlfn.XLOOKUP(B478,[1]!Tabela1[[Cidades ]],[1]!Tabela1[Regional],0,0,1)</f>
        <v>Jean</v>
      </c>
      <c r="H478" s="8" t="str">
        <f>_xlfn.XLOOKUP(B478,[1]!Tabela1[[Cidades ]],[1]!Tabela1[Gerente],0,0,1)</f>
        <v>Demais coordenadores</v>
      </c>
    </row>
    <row r="479" spans="1:8" x14ac:dyDescent="0.3">
      <c r="A479" s="9" t="s">
        <v>736</v>
      </c>
      <c r="B479" s="10" t="s">
        <v>24</v>
      </c>
      <c r="C479" s="11">
        <v>45834</v>
      </c>
      <c r="D479" s="12">
        <v>234173</v>
      </c>
      <c r="E479" s="5" t="str">
        <f>_xlfn.XLOOKUP(D479,[1]!Tabela24[Código consultor],[1]!Tabela24[Consultor Venda],0,0,1)</f>
        <v>PAR - TEC - SMA - MARIZA DE FATIMA DEZORDI - MARIZA DEZORDI</v>
      </c>
      <c r="F479" s="5" t="str">
        <f>_xlfn.XLOOKUP(D479,[1]!Tabela24[Código consultor],[1]!Tabela24[Canal Consultor],0,0,1)</f>
        <v>PAR</v>
      </c>
      <c r="G479" s="10" t="str">
        <f>_xlfn.XLOOKUP(B479,[1]!Tabela1[[Cidades ]],[1]!Tabela1[Regional],0,0,1)</f>
        <v>Magno</v>
      </c>
      <c r="H479" s="13" t="str">
        <f>_xlfn.XLOOKUP(B479,[1]!Tabela1[[Cidades ]],[1]!Tabela1[Gerente],0,0,1)</f>
        <v>Demais coordenadores</v>
      </c>
    </row>
    <row r="480" spans="1:8" x14ac:dyDescent="0.3">
      <c r="A480" s="4" t="s">
        <v>737</v>
      </c>
      <c r="B480" s="5" t="s">
        <v>29</v>
      </c>
      <c r="C480" s="6">
        <v>45834</v>
      </c>
      <c r="D480" s="7">
        <v>683349</v>
      </c>
      <c r="E480" s="5" t="str">
        <f>_xlfn.XLOOKUP(D480,[1]!Tabela24[Código consultor],[1]!Tabela24[Consultor Venda],0,0,1)</f>
        <v>DIG - CCO - EVELLIN SALOA MAIA DA CONCEICAO</v>
      </c>
      <c r="F480" s="5" t="str">
        <f>_xlfn.XLOOKUP(D480,[1]!Tabela24[Código consultor],[1]!Tabela24[Canal Consultor],0,0,1)</f>
        <v>DIGITAL</v>
      </c>
      <c r="G480" s="5" t="str">
        <f>_xlfn.XLOOKUP(B480,[1]!Tabela1[[Cidades ]],[1]!Tabela1[Regional],0,0,1)</f>
        <v>Adilson</v>
      </c>
      <c r="H480" s="8" t="str">
        <f>_xlfn.XLOOKUP(B480,[1]!Tabela1[[Cidades ]],[1]!Tabela1[Gerente],0,0,1)</f>
        <v>Demais coordenadores</v>
      </c>
    </row>
    <row r="481" spans="1:8" x14ac:dyDescent="0.3">
      <c r="A481" s="9" t="s">
        <v>738</v>
      </c>
      <c r="B481" s="10" t="s">
        <v>11</v>
      </c>
      <c r="C481" s="11">
        <v>45834</v>
      </c>
      <c r="D481" s="12">
        <v>861705</v>
      </c>
      <c r="E481" s="5" t="str">
        <f>_xlfn.XLOOKUP(D481,[1]!Tabela24[Código consultor],[1]!Tabela24[Consultor Venda],0,0,1)</f>
        <v>PAR - COM - PAP - TQR - ERIKA DE OLIVEIRA GALLE</v>
      </c>
      <c r="F481" s="5" t="str">
        <f>_xlfn.XLOOKUP(D481,[1]!Tabela24[Código consultor],[1]!Tabela24[Canal Consultor],0,0,1)</f>
        <v>PAR</v>
      </c>
      <c r="G481" s="10" t="str">
        <f>_xlfn.XLOOKUP(B481,[1]!Tabela1[[Cidades ]],[1]!Tabela1[Regional],0,0,1)</f>
        <v>Magno</v>
      </c>
      <c r="H481" s="13" t="str">
        <f>_xlfn.XLOOKUP(B481,[1]!Tabela1[[Cidades ]],[1]!Tabela1[Gerente],0,0,1)</f>
        <v>Demais coordenadores</v>
      </c>
    </row>
    <row r="482" spans="1:8" x14ac:dyDescent="0.3">
      <c r="A482" s="4" t="s">
        <v>623</v>
      </c>
      <c r="B482" s="5" t="s">
        <v>41</v>
      </c>
      <c r="C482" s="6">
        <v>45834</v>
      </c>
      <c r="D482" s="7">
        <v>290021</v>
      </c>
      <c r="E482" s="5" t="str">
        <f>_xlfn.XLOOKUP(D482,[1]!Tabela24[Código consultor],[1]!Tabela24[Consultor Venda],0,0,1)</f>
        <v>PAR - COM - CLD - ASTEC INFORMATICA - RAFAEL V DE ABREU</v>
      </c>
      <c r="F482" s="5" t="str">
        <f>_xlfn.XLOOKUP(D482,[1]!Tabela24[Código consultor],[1]!Tabela24[Canal Consultor],0,0,1)</f>
        <v>PAR</v>
      </c>
      <c r="G482" s="5" t="str">
        <f>_xlfn.XLOOKUP(B482,[1]!Tabela1[[Cidades ]],[1]!Tabela1[Regional],0,0,1)</f>
        <v>Maycon</v>
      </c>
      <c r="H482" s="8" t="str">
        <f>_xlfn.XLOOKUP(B482,[1]!Tabela1[[Cidades ]],[1]!Tabela1[Gerente],0,0,1)</f>
        <v>Demais coordenadores</v>
      </c>
    </row>
    <row r="483" spans="1:8" x14ac:dyDescent="0.3">
      <c r="A483" s="9" t="s">
        <v>739</v>
      </c>
      <c r="B483" s="10" t="s">
        <v>76</v>
      </c>
      <c r="C483" s="11">
        <v>45834</v>
      </c>
      <c r="D483" s="12">
        <v>883819</v>
      </c>
      <c r="E483" s="5" t="str">
        <f>_xlfn.XLOOKUP(D483,[1]!Tabela24[Código consultor],[1]!Tabela24[Consultor Venda],0,0,1)</f>
        <v>COM - PAS - MARIA LUIZA NECHER DA SILVEIRA</v>
      </c>
      <c r="F483" s="5" t="str">
        <f>_xlfn.XLOOKUP(D483,[1]!Tabela24[Código consultor],[1]!Tabela24[Canal Consultor],0,0,1)</f>
        <v>INTERNO</v>
      </c>
      <c r="G483" s="10" t="str">
        <f>_xlfn.XLOOKUP(B483,[1]!Tabela1[[Cidades ]],[1]!Tabela1[Regional],0,0,1)</f>
        <v>Alisson</v>
      </c>
      <c r="H483" s="13" t="str">
        <f>_xlfn.XLOOKUP(B483,[1]!Tabela1[[Cidades ]],[1]!Tabela1[Gerente],0,0,1)</f>
        <v>Helena</v>
      </c>
    </row>
    <row r="484" spans="1:8" x14ac:dyDescent="0.3">
      <c r="A484" s="4" t="s">
        <v>624</v>
      </c>
      <c r="B484" s="5" t="s">
        <v>31</v>
      </c>
      <c r="C484" s="6">
        <v>45834</v>
      </c>
      <c r="D484" s="7">
        <v>694166</v>
      </c>
      <c r="E484" s="5" t="str">
        <f>_xlfn.XLOOKUP(D484,[1]!Tabela24[Código consultor],[1]!Tabela24[Consultor Venda],0,0,1)</f>
        <v>DIG - CCO - CARINE CORREA SOARES</v>
      </c>
      <c r="F484" s="5" t="str">
        <f>_xlfn.XLOOKUP(D484,[1]!Tabela24[Código consultor],[1]!Tabela24[Canal Consultor],0,0,1)</f>
        <v>DIGITAL</v>
      </c>
      <c r="G484" s="5" t="str">
        <f>_xlfn.XLOOKUP(B484,[1]!Tabela1[[Cidades ]],[1]!Tabela1[Regional],0,0,1)</f>
        <v>Maycon</v>
      </c>
      <c r="H484" s="8" t="str">
        <f>_xlfn.XLOOKUP(B484,[1]!Tabela1[[Cidades ]],[1]!Tabela1[Gerente],0,0,1)</f>
        <v>Demais coordenadores</v>
      </c>
    </row>
    <row r="485" spans="1:8" x14ac:dyDescent="0.3">
      <c r="A485" s="9" t="s">
        <v>625</v>
      </c>
      <c r="B485" s="10" t="s">
        <v>24</v>
      </c>
      <c r="C485" s="11">
        <v>45834</v>
      </c>
      <c r="D485" s="12">
        <v>877649</v>
      </c>
      <c r="E485" s="5" t="str">
        <f>_xlfn.XLOOKUP(D485,[1]!Tabela24[Código consultor],[1]!Tabela24[Consultor Venda],0,0,1)</f>
        <v>COM - SMA - NIKOLAS GUTERRES COMIN</v>
      </c>
      <c r="F485" s="5" t="str">
        <f>_xlfn.XLOOKUP(D485,[1]!Tabela24[Código consultor],[1]!Tabela24[Canal Consultor],0,0,1)</f>
        <v>Pap</v>
      </c>
      <c r="G485" s="10" t="str">
        <f>_xlfn.XLOOKUP(B485,[1]!Tabela1[[Cidades ]],[1]!Tabela1[Regional],0,0,1)</f>
        <v>Magno</v>
      </c>
      <c r="H485" s="13" t="str">
        <f>_xlfn.XLOOKUP(B485,[1]!Tabela1[[Cidades ]],[1]!Tabela1[Gerente],0,0,1)</f>
        <v>Demais coordenadores</v>
      </c>
    </row>
    <row r="486" spans="1:8" x14ac:dyDescent="0.3">
      <c r="A486" s="4" t="s">
        <v>626</v>
      </c>
      <c r="B486" s="5" t="s">
        <v>48</v>
      </c>
      <c r="C486" s="6">
        <v>45834</v>
      </c>
      <c r="D486" s="7">
        <v>529843</v>
      </c>
      <c r="E486" s="5" t="str">
        <f>_xlfn.XLOOKUP(D486,[1]!Tabela24[Código consultor],[1]!Tabela24[Consultor Venda],0,0,1)</f>
        <v>B2B - VALTER ARALDI JUNIOR</v>
      </c>
      <c r="F486" s="5" t="str">
        <f>_xlfn.XLOOKUP(D486,[1]!Tabela24[Código consultor],[1]!Tabela24[Canal Consultor],0,0,1)</f>
        <v>PAR_DIG</v>
      </c>
      <c r="G486" s="5" t="str">
        <f>_xlfn.XLOOKUP(B486,[1]!Tabela1[[Cidades ]],[1]!Tabela1[Regional],0,0,1)</f>
        <v>Maycon</v>
      </c>
      <c r="H486" s="8" t="str">
        <f>_xlfn.XLOOKUP(B486,[1]!Tabela1[[Cidades ]],[1]!Tabela1[Gerente],0,0,1)</f>
        <v>Demais coordenadores</v>
      </c>
    </row>
    <row r="487" spans="1:8" x14ac:dyDescent="0.3">
      <c r="A487" s="9" t="s">
        <v>740</v>
      </c>
      <c r="B487" s="10" t="s">
        <v>76</v>
      </c>
      <c r="C487" s="11">
        <v>45834</v>
      </c>
      <c r="D487" s="12">
        <v>878929</v>
      </c>
      <c r="E487" s="5" t="str">
        <f>_xlfn.XLOOKUP(D487,[1]!Tabela24[Código consultor],[1]!Tabela24[Consultor Venda],0,0,1)</f>
        <v>COM - CIO - MARIA EDUARDA DO CARMO MACHADO</v>
      </c>
      <c r="F487" s="5" t="str">
        <f>_xlfn.XLOOKUP(D487,[1]!Tabela24[Código consultor],[1]!Tabela24[Canal Consultor],0,0,1)</f>
        <v>Pap</v>
      </c>
      <c r="G487" s="10" t="str">
        <f>_xlfn.XLOOKUP(B487,[1]!Tabela1[[Cidades ]],[1]!Tabela1[Regional],0,0,1)</f>
        <v>Alisson</v>
      </c>
      <c r="H487" s="13" t="str">
        <f>_xlfn.XLOOKUP(B487,[1]!Tabela1[[Cidades ]],[1]!Tabela1[Gerente],0,0,1)</f>
        <v>Helena</v>
      </c>
    </row>
    <row r="488" spans="1:8" x14ac:dyDescent="0.3">
      <c r="A488" s="4" t="s">
        <v>741</v>
      </c>
      <c r="B488" s="5" t="s">
        <v>45</v>
      </c>
      <c r="C488" s="6">
        <v>45834</v>
      </c>
      <c r="D488" s="7">
        <v>235841</v>
      </c>
      <c r="E488" s="5" t="str">
        <f>_xlfn.XLOOKUP(D488,[1]!Tabela24[Código consultor],[1]!Tabela24[Consultor Venda],0,0,1)</f>
        <v>DIG - CCO - KAUANA BONI</v>
      </c>
      <c r="F488" s="5" t="str">
        <f>_xlfn.XLOOKUP(D488,[1]!Tabela24[Código consultor],[1]!Tabela24[Canal Consultor],0,0,1)</f>
        <v>DIGITAL</v>
      </c>
      <c r="G488" s="5" t="str">
        <f>_xlfn.XLOOKUP(B488,[1]!Tabela1[[Cidades ]],[1]!Tabela1[Regional],0,0,1)</f>
        <v>Jean</v>
      </c>
      <c r="H488" s="8" t="str">
        <f>_xlfn.XLOOKUP(B488,[1]!Tabela1[[Cidades ]],[1]!Tabela1[Gerente],0,0,1)</f>
        <v>Demais coordenadores</v>
      </c>
    </row>
    <row r="489" spans="1:8" x14ac:dyDescent="0.3">
      <c r="A489" s="9" t="s">
        <v>628</v>
      </c>
      <c r="B489" s="10" t="s">
        <v>23</v>
      </c>
      <c r="C489" s="11">
        <v>45834</v>
      </c>
      <c r="D489" s="12">
        <v>197832</v>
      </c>
      <c r="E489" s="5" t="str">
        <f>_xlfn.XLOOKUP(D489,[1]!Tabela24[Código consultor],[1]!Tabela24[Consultor Venda],0,0,1)</f>
        <v>DIG - CCO - RAIANE BERGAMIN</v>
      </c>
      <c r="F489" s="5" t="str">
        <f>_xlfn.XLOOKUP(D489,[1]!Tabela24[Código consultor],[1]!Tabela24[Canal Consultor],0,0,1)</f>
        <v>DIGITAL</v>
      </c>
      <c r="G489" s="10" t="str">
        <f>_xlfn.XLOOKUP(B489,[1]!Tabela1[[Cidades ]],[1]!Tabela1[Regional],0,0,1)</f>
        <v>Magno</v>
      </c>
      <c r="H489" s="13" t="str">
        <f>_xlfn.XLOOKUP(B489,[1]!Tabela1[[Cidades ]],[1]!Tabela1[Gerente],0,0,1)</f>
        <v>Demais coordenadores</v>
      </c>
    </row>
    <row r="490" spans="1:8" x14ac:dyDescent="0.3">
      <c r="A490" s="4" t="s">
        <v>630</v>
      </c>
      <c r="B490" s="5" t="s">
        <v>12</v>
      </c>
      <c r="C490" s="6">
        <v>45834</v>
      </c>
      <c r="D490" s="7">
        <v>235841</v>
      </c>
      <c r="E490" s="5" t="str">
        <f>_xlfn.XLOOKUP(D490,[1]!Tabela24[Código consultor],[1]!Tabela24[Consultor Venda],0,0,1)</f>
        <v>DIG - CCO - KAUANA BONI</v>
      </c>
      <c r="F490" s="5" t="str">
        <f>_xlfn.XLOOKUP(D490,[1]!Tabela24[Código consultor],[1]!Tabela24[Canal Consultor],0,0,1)</f>
        <v>DIGITAL</v>
      </c>
      <c r="G490" s="5" t="str">
        <f>_xlfn.XLOOKUP(B490,[1]!Tabela1[[Cidades ]],[1]!Tabela1[Regional],0,0,1)</f>
        <v>Jean</v>
      </c>
      <c r="H490" s="8" t="str">
        <f>_xlfn.XLOOKUP(B490,[1]!Tabela1[[Cidades ]],[1]!Tabela1[Gerente],0,0,1)</f>
        <v>Demais coordenadores</v>
      </c>
    </row>
    <row r="491" spans="1:8" x14ac:dyDescent="0.3">
      <c r="A491" s="9" t="s">
        <v>631</v>
      </c>
      <c r="B491" s="10" t="s">
        <v>41</v>
      </c>
      <c r="C491" s="11">
        <v>45834</v>
      </c>
      <c r="D491" s="12">
        <v>177442</v>
      </c>
      <c r="E491" s="5" t="str">
        <f>_xlfn.XLOOKUP(D491,[1]!Tabela24[Código consultor],[1]!Tabela24[Consultor Venda],0,0,1)</f>
        <v>COM - XXE - MARCOS MEZZOMO</v>
      </c>
      <c r="F491" s="5" t="str">
        <f>_xlfn.XLOOKUP(D491,[1]!Tabela24[Código consultor],[1]!Tabela24[Canal Consultor],0,0,1)</f>
        <v>Pap</v>
      </c>
      <c r="G491" s="10" t="str">
        <f>_xlfn.XLOOKUP(B491,[1]!Tabela1[[Cidades ]],[1]!Tabela1[Regional],0,0,1)</f>
        <v>Maycon</v>
      </c>
      <c r="H491" s="13" t="str">
        <f>_xlfn.XLOOKUP(B491,[1]!Tabela1[[Cidades ]],[1]!Tabela1[Gerente],0,0,1)</f>
        <v>Demais coordenadores</v>
      </c>
    </row>
    <row r="492" spans="1:8" x14ac:dyDescent="0.3">
      <c r="A492" s="4" t="s">
        <v>632</v>
      </c>
      <c r="B492" s="5" t="s">
        <v>71</v>
      </c>
      <c r="C492" s="6">
        <v>45834</v>
      </c>
      <c r="D492" s="7">
        <v>370865</v>
      </c>
      <c r="E492" s="5" t="str">
        <f>_xlfn.XLOOKUP(D492,[1]!Tabela24[Código consultor],[1]!Tabela24[Consultor Venda],0,0,1)</f>
        <v>COM - IGA - LUCAS DE OLIVEIRA</v>
      </c>
      <c r="F492" s="5" t="str">
        <f>_xlfn.XLOOKUP(D492,[1]!Tabela24[Código consultor],[1]!Tabela24[Canal Consultor],0,0,1)</f>
        <v>INTERNO</v>
      </c>
      <c r="G492" s="5" t="str">
        <f>_xlfn.XLOOKUP(B492,[1]!Tabela1[[Cidades ]],[1]!Tabela1[Regional],0,0,1)</f>
        <v>Jean</v>
      </c>
      <c r="H492" s="8" t="str">
        <f>_xlfn.XLOOKUP(B492,[1]!Tabela1[[Cidades ]],[1]!Tabela1[Gerente],0,0,1)</f>
        <v>Demais coordenadores</v>
      </c>
    </row>
    <row r="493" spans="1:8" x14ac:dyDescent="0.3">
      <c r="A493" s="9" t="s">
        <v>742</v>
      </c>
      <c r="B493" s="10" t="s">
        <v>23</v>
      </c>
      <c r="C493" s="11">
        <v>45834</v>
      </c>
      <c r="D493" s="12">
        <v>767508</v>
      </c>
      <c r="E493" s="5" t="str">
        <f>_xlfn.XLOOKUP(D493,[1]!Tabela24[Código consultor],[1]!Tabela24[Consultor Venda],0,0,1)</f>
        <v>COM - CAN - JULIANA DA SILVA ASSUNCAO</v>
      </c>
      <c r="F493" s="5" t="str">
        <f>_xlfn.XLOOKUP(D493,[1]!Tabela24[Código consultor],[1]!Tabela24[Canal Consultor],0,0,1)</f>
        <v>Pap</v>
      </c>
      <c r="G493" s="10" t="str">
        <f>_xlfn.XLOOKUP(B493,[1]!Tabela1[[Cidades ]],[1]!Tabela1[Regional],0,0,1)</f>
        <v>Magno</v>
      </c>
      <c r="H493" s="13" t="str">
        <f>_xlfn.XLOOKUP(B493,[1]!Tabela1[[Cidades ]],[1]!Tabela1[Gerente],0,0,1)</f>
        <v>Demais coordenadores</v>
      </c>
    </row>
    <row r="494" spans="1:8" x14ac:dyDescent="0.3">
      <c r="A494" s="4" t="s">
        <v>633</v>
      </c>
      <c r="B494" s="5" t="s">
        <v>19</v>
      </c>
      <c r="C494" s="6">
        <v>45834</v>
      </c>
      <c r="D494" s="7">
        <v>878848</v>
      </c>
      <c r="E494" s="5" t="str">
        <f>_xlfn.XLOOKUP(D494,[1]!Tabela24[Código consultor],[1]!Tabela24[Consultor Venda],0,0,1)</f>
        <v>COM - CHN - MATHEUS ALFREDO MACEDO</v>
      </c>
      <c r="F494" s="5" t="str">
        <f>_xlfn.XLOOKUP(D494,[1]!Tabela24[Código consultor],[1]!Tabela24[Canal Consultor],0,0,1)</f>
        <v>Pap</v>
      </c>
      <c r="G494" s="5" t="str">
        <f>_xlfn.XLOOKUP(B494,[1]!Tabela1[[Cidades ]],[1]!Tabela1[Regional],0,0,1)</f>
        <v>Magno</v>
      </c>
      <c r="H494" s="8" t="str">
        <f>_xlfn.XLOOKUP(B494,[1]!Tabela1[[Cidades ]],[1]!Tabela1[Gerente],0,0,1)</f>
        <v>Demais coordenadores</v>
      </c>
    </row>
    <row r="495" spans="1:8" x14ac:dyDescent="0.3">
      <c r="A495" s="9" t="s">
        <v>635</v>
      </c>
      <c r="B495" s="10" t="s">
        <v>19</v>
      </c>
      <c r="C495" s="11">
        <v>45834</v>
      </c>
      <c r="D495" s="12">
        <v>868672</v>
      </c>
      <c r="E495" s="5" t="str">
        <f>_xlfn.XLOOKUP(D495,[1]!Tabela24[Código consultor],[1]!Tabela24[Consultor Venda],0,0,1)</f>
        <v>COM - CHN - KEVIN FELIPE RODRIGUES DA SILVA LOPES</v>
      </c>
      <c r="F495" s="5" t="str">
        <f>_xlfn.XLOOKUP(D495,[1]!Tabela24[Código consultor],[1]!Tabela24[Canal Consultor],0,0,1)</f>
        <v>Pap</v>
      </c>
      <c r="G495" s="10" t="str">
        <f>_xlfn.XLOOKUP(B495,[1]!Tabela1[[Cidades ]],[1]!Tabela1[Regional],0,0,1)</f>
        <v>Magno</v>
      </c>
      <c r="H495" s="13" t="str">
        <f>_xlfn.XLOOKUP(B495,[1]!Tabela1[[Cidades ]],[1]!Tabela1[Gerente],0,0,1)</f>
        <v>Demais coordenadores</v>
      </c>
    </row>
    <row r="496" spans="1:8" x14ac:dyDescent="0.3">
      <c r="A496" s="4" t="s">
        <v>636</v>
      </c>
      <c r="B496" s="5" t="s">
        <v>12</v>
      </c>
      <c r="C496" s="6">
        <v>45834</v>
      </c>
      <c r="D496" s="7">
        <v>866566</v>
      </c>
      <c r="E496" s="5" t="str">
        <f>_xlfn.XLOOKUP(D496,[1]!Tabela24[Código consultor],[1]!Tabela24[Consultor Venda],0,0,1)</f>
        <v>PAR - PAP - PGO - LIVIA FLAVIA NUNES LOPES SANTOS</v>
      </c>
      <c r="F496" s="5" t="str">
        <f>_xlfn.XLOOKUP(D496,[1]!Tabela24[Código consultor],[1]!Tabela24[Canal Consultor],0,0,1)</f>
        <v>PAR</v>
      </c>
      <c r="G496" s="5" t="str">
        <f>_xlfn.XLOOKUP(B496,[1]!Tabela1[[Cidades ]],[1]!Tabela1[Regional],0,0,1)</f>
        <v>Jean</v>
      </c>
      <c r="H496" s="8" t="str">
        <f>_xlfn.XLOOKUP(B496,[1]!Tabela1[[Cidades ]],[1]!Tabela1[Gerente],0,0,1)</f>
        <v>Demais coordenadores</v>
      </c>
    </row>
    <row r="497" spans="1:8" x14ac:dyDescent="0.3">
      <c r="A497" s="9" t="s">
        <v>743</v>
      </c>
      <c r="B497" s="10" t="s">
        <v>24</v>
      </c>
      <c r="C497" s="11">
        <v>45834</v>
      </c>
      <c r="D497" s="12">
        <v>870651</v>
      </c>
      <c r="E497" s="5" t="str">
        <f>_xlfn.XLOOKUP(D497,[1]!Tabela24[Código consultor],[1]!Tabela24[Consultor Venda],0,0,1)</f>
        <v>COM - SMA - LORRANY NUNES BACK RODRIGUES</v>
      </c>
      <c r="F497" s="5" t="str">
        <f>_xlfn.XLOOKUP(D497,[1]!Tabela24[Código consultor],[1]!Tabela24[Canal Consultor],0,0,1)</f>
        <v>INTERNO</v>
      </c>
      <c r="G497" s="10" t="str">
        <f>_xlfn.XLOOKUP(B497,[1]!Tabela1[[Cidades ]],[1]!Tabela1[Regional],0,0,1)</f>
        <v>Magno</v>
      </c>
      <c r="H497" s="13" t="str">
        <f>_xlfn.XLOOKUP(B497,[1]!Tabela1[[Cidades ]],[1]!Tabela1[Gerente],0,0,1)</f>
        <v>Demais coordenadores</v>
      </c>
    </row>
    <row r="498" spans="1:8" x14ac:dyDescent="0.3">
      <c r="A498" s="4" t="s">
        <v>637</v>
      </c>
      <c r="B498" s="5" t="s">
        <v>24</v>
      </c>
      <c r="C498" s="6">
        <v>45834</v>
      </c>
      <c r="D498" s="7">
        <v>870012</v>
      </c>
      <c r="E498" s="5" t="str">
        <f>_xlfn.XLOOKUP(D498,[1]!Tabela24[Código consultor],[1]!Tabela24[Consultor Venda],0,0,1)</f>
        <v>COM - SMA - LUIZ EDUARDO DOS SANTOS LOPES COLLARES</v>
      </c>
      <c r="F498" s="5" t="str">
        <f>_xlfn.XLOOKUP(D498,[1]!Tabela24[Código consultor],[1]!Tabela24[Canal Consultor],0,0,1)</f>
        <v>Pap</v>
      </c>
      <c r="G498" s="5" t="str">
        <f>_xlfn.XLOOKUP(B498,[1]!Tabela1[[Cidades ]],[1]!Tabela1[Regional],0,0,1)</f>
        <v>Magno</v>
      </c>
      <c r="H498" s="8" t="str">
        <f>_xlfn.XLOOKUP(B498,[1]!Tabela1[[Cidades ]],[1]!Tabela1[Gerente],0,0,1)</f>
        <v>Demais coordenadores</v>
      </c>
    </row>
    <row r="499" spans="1:8" x14ac:dyDescent="0.3">
      <c r="A499" s="9" t="s">
        <v>638</v>
      </c>
      <c r="B499" s="10" t="s">
        <v>32</v>
      </c>
      <c r="C499" s="11">
        <v>45834</v>
      </c>
      <c r="D499" s="12">
        <v>829353</v>
      </c>
      <c r="E499" s="5" t="str">
        <f>_xlfn.XLOOKUP(D499,[1]!Tabela24[Código consultor],[1]!Tabela24[Consultor Venda],0,0,1)</f>
        <v>COM - IGA - KARL EDUARDO MORAES DE ALMEIDA</v>
      </c>
      <c r="F499" s="5" t="str">
        <f>_xlfn.XLOOKUP(D499,[1]!Tabela24[Código consultor],[1]!Tabela24[Canal Consultor],0,0,1)</f>
        <v>Pap</v>
      </c>
      <c r="G499" s="10" t="str">
        <f>_xlfn.XLOOKUP(B499,[1]!Tabela1[[Cidades ]],[1]!Tabela1[Regional],0,0,1)</f>
        <v>Jean</v>
      </c>
      <c r="H499" s="13" t="str">
        <f>_xlfn.XLOOKUP(B499,[1]!Tabela1[[Cidades ]],[1]!Tabela1[Gerente],0,0,1)</f>
        <v>Demais coordenadores</v>
      </c>
    </row>
    <row r="500" spans="1:8" x14ac:dyDescent="0.3">
      <c r="A500" s="4" t="s">
        <v>639</v>
      </c>
      <c r="B500" s="5" t="s">
        <v>32</v>
      </c>
      <c r="C500" s="6">
        <v>45834</v>
      </c>
      <c r="D500" s="7">
        <v>873643</v>
      </c>
      <c r="E500" s="5" t="str">
        <f>_xlfn.XLOOKUP(D500,[1]!Tabela24[Código consultor],[1]!Tabela24[Consultor Venda],0,0,1)</f>
        <v>COM - IGA - EMILI JULIANA DE OLIVEIRA SOUTO</v>
      </c>
      <c r="F500" s="5" t="str">
        <f>_xlfn.XLOOKUP(D500,[1]!Tabela24[Código consultor],[1]!Tabela24[Canal Consultor],0,0,1)</f>
        <v>INTERNO</v>
      </c>
      <c r="G500" s="5" t="str">
        <f>_xlfn.XLOOKUP(B500,[1]!Tabela1[[Cidades ]],[1]!Tabela1[Regional],0,0,1)</f>
        <v>Jean</v>
      </c>
      <c r="H500" s="8" t="str">
        <f>_xlfn.XLOOKUP(B500,[1]!Tabela1[[Cidades ]],[1]!Tabela1[Gerente],0,0,1)</f>
        <v>Demais coordenadores</v>
      </c>
    </row>
    <row r="501" spans="1:8" x14ac:dyDescent="0.3">
      <c r="A501" s="9" t="s">
        <v>744</v>
      </c>
      <c r="B501" s="10" t="s">
        <v>53</v>
      </c>
      <c r="C501" s="11">
        <v>45834</v>
      </c>
      <c r="D501" s="12">
        <v>844068</v>
      </c>
      <c r="E501" s="5" t="str">
        <f>_xlfn.XLOOKUP(D501,[1]!Tabela24[Código consultor],[1]!Tabela24[Consultor Venda],0,0,1)</f>
        <v>COM - DOS - GABRIEL SPINDOLA RAMOS CORREA</v>
      </c>
      <c r="F501" s="5" t="str">
        <f>_xlfn.XLOOKUP(D501,[1]!Tabela24[Código consultor],[1]!Tabela24[Canal Consultor],0,0,1)</f>
        <v>Pap</v>
      </c>
      <c r="G501" s="10" t="str">
        <f>_xlfn.XLOOKUP(B501,[1]!Tabela1[[Cidades ]],[1]!Tabela1[Regional],0,0,1)</f>
        <v>Adilson</v>
      </c>
      <c r="H501" s="13" t="str">
        <f>_xlfn.XLOOKUP(B501,[1]!Tabela1[[Cidades ]],[1]!Tabela1[Gerente],0,0,1)</f>
        <v>Demais coordenadores</v>
      </c>
    </row>
    <row r="502" spans="1:8" x14ac:dyDescent="0.3">
      <c r="A502" s="4" t="s">
        <v>640</v>
      </c>
      <c r="B502" s="5" t="s">
        <v>32</v>
      </c>
      <c r="C502" s="6">
        <v>45834</v>
      </c>
      <c r="D502" s="7">
        <v>555881</v>
      </c>
      <c r="E502" s="5" t="str">
        <f>_xlfn.XLOOKUP(D502,[1]!Tabela24[Código consultor],[1]!Tabela24[Consultor Venda],0,0,1)</f>
        <v>COM - IGA - LUIS FELIPE SIQUEIRA DE LIMA</v>
      </c>
      <c r="F502" s="5" t="str">
        <f>_xlfn.XLOOKUP(D502,[1]!Tabela24[Código consultor],[1]!Tabela24[Canal Consultor],0,0,1)</f>
        <v>INTERNO</v>
      </c>
      <c r="G502" s="5" t="str">
        <f>_xlfn.XLOOKUP(B502,[1]!Tabela1[[Cidades ]],[1]!Tabela1[Regional],0,0,1)</f>
        <v>Jean</v>
      </c>
      <c r="H502" s="8" t="str">
        <f>_xlfn.XLOOKUP(B502,[1]!Tabela1[[Cidades ]],[1]!Tabela1[Gerente],0,0,1)</f>
        <v>Demais coordenadores</v>
      </c>
    </row>
    <row r="503" spans="1:8" x14ac:dyDescent="0.3">
      <c r="A503" s="9" t="s">
        <v>641</v>
      </c>
      <c r="B503" s="10" t="s">
        <v>27</v>
      </c>
      <c r="C503" s="11">
        <v>45834</v>
      </c>
      <c r="D503" s="12">
        <v>600710</v>
      </c>
      <c r="E503" s="5" t="str">
        <f>_xlfn.XLOOKUP(D503,[1]!Tabela24[Código consultor],[1]!Tabela24[Consultor Venda],0,0,1)</f>
        <v>DIG - CCO - BRUNA BALBINOTTI</v>
      </c>
      <c r="F503" s="5" t="str">
        <f>_xlfn.XLOOKUP(D503,[1]!Tabela24[Código consultor],[1]!Tabela24[Canal Consultor],0,0,1)</f>
        <v>DIGITAL</v>
      </c>
      <c r="G503" s="10" t="str">
        <f>_xlfn.XLOOKUP(B503,[1]!Tabela1[[Cidades ]],[1]!Tabela1[Regional],0,0,1)</f>
        <v>Alisson</v>
      </c>
      <c r="H503" s="13" t="str">
        <f>_xlfn.XLOOKUP(B503,[1]!Tabela1[[Cidades ]],[1]!Tabela1[Gerente],0,0,1)</f>
        <v>Tatiane</v>
      </c>
    </row>
    <row r="504" spans="1:8" x14ac:dyDescent="0.3">
      <c r="A504" s="4" t="s">
        <v>745</v>
      </c>
      <c r="B504" s="5" t="s">
        <v>10</v>
      </c>
      <c r="C504" s="6">
        <v>45834</v>
      </c>
      <c r="D504" s="7">
        <v>233138</v>
      </c>
      <c r="E504" s="5" t="str">
        <f>_xlfn.XLOOKUP(D504,[1]!Tabela24[Código consultor],[1]!Tabela24[Consultor Venda],0,0,1)</f>
        <v>PAR - INTE - GRP - MOBILE HD - ALINE KARNOSKI</v>
      </c>
      <c r="F504" s="5" t="str">
        <f>_xlfn.XLOOKUP(D504,[1]!Tabela24[Código consultor],[1]!Tabela24[Canal Consultor],0,0,1)</f>
        <v>PAR</v>
      </c>
      <c r="G504" s="5" t="str">
        <f>_xlfn.XLOOKUP(B504,[1]!Tabela1[[Cidades ]],[1]!Tabela1[Regional],0,0,1)</f>
        <v>Jean</v>
      </c>
      <c r="H504" s="8" t="str">
        <f>_xlfn.XLOOKUP(B504,[1]!Tabela1[[Cidades ]],[1]!Tabela1[Gerente],0,0,1)</f>
        <v>Demais coordenadores</v>
      </c>
    </row>
    <row r="505" spans="1:8" x14ac:dyDescent="0.3">
      <c r="A505" s="9" t="s">
        <v>642</v>
      </c>
      <c r="B505" s="10" t="s">
        <v>9</v>
      </c>
      <c r="C505" s="11">
        <v>45834</v>
      </c>
      <c r="D505" s="12">
        <v>805907</v>
      </c>
      <c r="E505" s="5" t="str">
        <f>_xlfn.XLOOKUP(D505,[1]!Tabela24[Código consultor],[1]!Tabela24[Consultor Venda],0,0,1)</f>
        <v>COM - PBC - GABRIELI EDUARDA VOGT</v>
      </c>
      <c r="F505" s="5" t="str">
        <f>_xlfn.XLOOKUP(D505,[1]!Tabela24[Código consultor],[1]!Tabela24[Canal Consultor],0,0,1)</f>
        <v>INTERNO</v>
      </c>
      <c r="G505" s="10" t="str">
        <f>_xlfn.XLOOKUP(B505,[1]!Tabela1[[Cidades ]],[1]!Tabela1[Regional],0,0,1)</f>
        <v>Maycon</v>
      </c>
      <c r="H505" s="13" t="str">
        <f>_xlfn.XLOOKUP(B505,[1]!Tabela1[[Cidades ]],[1]!Tabela1[Gerente],0,0,1)</f>
        <v>Demais coordenadores</v>
      </c>
    </row>
    <row r="506" spans="1:8" x14ac:dyDescent="0.3">
      <c r="A506" s="4" t="s">
        <v>643</v>
      </c>
      <c r="B506" s="5" t="s">
        <v>53</v>
      </c>
      <c r="C506" s="6">
        <v>45834</v>
      </c>
      <c r="D506" s="7">
        <v>844068</v>
      </c>
      <c r="E506" s="5" t="str">
        <f>_xlfn.XLOOKUP(D506,[1]!Tabela24[Código consultor],[1]!Tabela24[Consultor Venda],0,0,1)</f>
        <v>COM - DOS - GABRIEL SPINDOLA RAMOS CORREA</v>
      </c>
      <c r="F506" s="5" t="str">
        <f>_xlfn.XLOOKUP(D506,[1]!Tabela24[Código consultor],[1]!Tabela24[Canal Consultor],0,0,1)</f>
        <v>Pap</v>
      </c>
      <c r="G506" s="5" t="str">
        <f>_xlfn.XLOOKUP(B506,[1]!Tabela1[[Cidades ]],[1]!Tabela1[Regional],0,0,1)</f>
        <v>Adilson</v>
      </c>
      <c r="H506" s="8" t="str">
        <f>_xlfn.XLOOKUP(B506,[1]!Tabela1[[Cidades ]],[1]!Tabela1[Gerente],0,0,1)</f>
        <v>Demais coordenadores</v>
      </c>
    </row>
    <row r="507" spans="1:8" x14ac:dyDescent="0.3">
      <c r="A507" s="9" t="s">
        <v>644</v>
      </c>
      <c r="B507" s="10" t="s">
        <v>54</v>
      </c>
      <c r="C507" s="11">
        <v>45834</v>
      </c>
      <c r="D507" s="12">
        <v>399149</v>
      </c>
      <c r="E507" s="5" t="str">
        <f>_xlfn.XLOOKUP(D507,[1]!Tabela24[Código consultor],[1]!Tabela24[Consultor Venda],0,0,1)</f>
        <v>PAR - ADM - SUV - IDEAL - LUANA CRISTINA MACHADO</v>
      </c>
      <c r="F507" s="5" t="str">
        <f>_xlfn.XLOOKUP(D507,[1]!Tabela24[Código consultor],[1]!Tabela24[Canal Consultor],0,0,1)</f>
        <v>PAR</v>
      </c>
      <c r="G507" s="10" t="str">
        <f>_xlfn.XLOOKUP(B507,[1]!Tabela1[[Cidades ]],[1]!Tabela1[Regional],0,0,1)</f>
        <v>Alisson</v>
      </c>
      <c r="H507" s="13" t="str">
        <f>_xlfn.XLOOKUP(B507,[1]!Tabela1[[Cidades ]],[1]!Tabela1[Gerente],0,0,1)</f>
        <v>Tatiane</v>
      </c>
    </row>
    <row r="508" spans="1:8" x14ac:dyDescent="0.3">
      <c r="A508" s="4" t="s">
        <v>746</v>
      </c>
      <c r="B508" s="5" t="s">
        <v>11</v>
      </c>
      <c r="C508" s="6">
        <v>45834</v>
      </c>
      <c r="D508" s="7">
        <v>233138</v>
      </c>
      <c r="E508" s="5" t="str">
        <f>_xlfn.XLOOKUP(D508,[1]!Tabela24[Código consultor],[1]!Tabela24[Consultor Venda],0,0,1)</f>
        <v>PAR - INTE - GRP - MOBILE HD - ALINE KARNOSKI</v>
      </c>
      <c r="F508" s="5" t="str">
        <f>_xlfn.XLOOKUP(D508,[1]!Tabela24[Código consultor],[1]!Tabela24[Canal Consultor],0,0,1)</f>
        <v>PAR</v>
      </c>
      <c r="G508" s="5" t="str">
        <f>_xlfn.XLOOKUP(B508,[1]!Tabela1[[Cidades ]],[1]!Tabela1[Regional],0,0,1)</f>
        <v>Magno</v>
      </c>
      <c r="H508" s="8" t="str">
        <f>_xlfn.XLOOKUP(B508,[1]!Tabela1[[Cidades ]],[1]!Tabela1[Gerente],0,0,1)</f>
        <v>Demais coordenadores</v>
      </c>
    </row>
    <row r="509" spans="1:8" x14ac:dyDescent="0.3">
      <c r="A509" s="9" t="s">
        <v>645</v>
      </c>
      <c r="B509" s="10" t="s">
        <v>39</v>
      </c>
      <c r="C509" s="11">
        <v>45834</v>
      </c>
      <c r="D509" s="12">
        <v>788656</v>
      </c>
      <c r="E509" s="5" t="str">
        <f>_xlfn.XLOOKUP(D509,[1]!Tabela24[Código consultor],[1]!Tabela24[Consultor Venda],0,0,1)</f>
        <v>PAR - STB - PAP - JOY TELECOM - GABRIELA ALVES DE GODOY</v>
      </c>
      <c r="F509" s="5" t="str">
        <f>_xlfn.XLOOKUP(D509,[1]!Tabela24[Código consultor],[1]!Tabela24[Canal Consultor],0,0,1)</f>
        <v>PAR_DIG</v>
      </c>
      <c r="G509" s="10" t="str">
        <f>_xlfn.XLOOKUP(B509,[1]!Tabela1[[Cidades ]],[1]!Tabela1[Regional],0,0,1)</f>
        <v>Marcio</v>
      </c>
      <c r="H509" s="13" t="str">
        <f>_xlfn.XLOOKUP(B509,[1]!Tabela1[[Cidades ]],[1]!Tabela1[Gerente],0,0,1)</f>
        <v>Demais coordenadores</v>
      </c>
    </row>
    <row r="510" spans="1:8" x14ac:dyDescent="0.3">
      <c r="A510" s="4" t="s">
        <v>646</v>
      </c>
      <c r="B510" s="5" t="s">
        <v>24</v>
      </c>
      <c r="C510" s="6">
        <v>45834</v>
      </c>
      <c r="D510" s="7">
        <v>870012</v>
      </c>
      <c r="E510" s="5" t="str">
        <f>_xlfn.XLOOKUP(D510,[1]!Tabela24[Código consultor],[1]!Tabela24[Consultor Venda],0,0,1)</f>
        <v>COM - SMA - LUIZ EDUARDO DOS SANTOS LOPES COLLARES</v>
      </c>
      <c r="F510" s="5" t="str">
        <f>_xlfn.XLOOKUP(D510,[1]!Tabela24[Código consultor],[1]!Tabela24[Canal Consultor],0,0,1)</f>
        <v>Pap</v>
      </c>
      <c r="G510" s="5" t="str">
        <f>_xlfn.XLOOKUP(B510,[1]!Tabela1[[Cidades ]],[1]!Tabela1[Regional],0,0,1)</f>
        <v>Magno</v>
      </c>
      <c r="H510" s="8" t="str">
        <f>_xlfn.XLOOKUP(B510,[1]!Tabela1[[Cidades ]],[1]!Tabela1[Gerente],0,0,1)</f>
        <v>Demais coordenadores</v>
      </c>
    </row>
    <row r="511" spans="1:8" x14ac:dyDescent="0.3">
      <c r="A511" s="9" t="s">
        <v>647</v>
      </c>
      <c r="B511" s="10" t="s">
        <v>19</v>
      </c>
      <c r="C511" s="11">
        <v>45834</v>
      </c>
      <c r="D511" s="12">
        <v>653931</v>
      </c>
      <c r="E511" s="5" t="str">
        <f>_xlfn.XLOOKUP(D511,[1]!Tabela24[Código consultor],[1]!Tabela24[Consultor Venda],0,0,1)</f>
        <v>COM - CHN - SANTIAGO DA SILVA RODRIGUES</v>
      </c>
      <c r="F511" s="5" t="str">
        <f>_xlfn.XLOOKUP(D511,[1]!Tabela24[Código consultor],[1]!Tabela24[Canal Consultor],0,0,1)</f>
        <v>Pap</v>
      </c>
      <c r="G511" s="10" t="str">
        <f>_xlfn.XLOOKUP(B511,[1]!Tabela1[[Cidades ]],[1]!Tabela1[Regional],0,0,1)</f>
        <v>Magno</v>
      </c>
      <c r="H511" s="13" t="str">
        <f>_xlfn.XLOOKUP(B511,[1]!Tabela1[[Cidades ]],[1]!Tabela1[Gerente],0,0,1)</f>
        <v>Demais coordenadores</v>
      </c>
    </row>
    <row r="512" spans="1:8" x14ac:dyDescent="0.3">
      <c r="A512" s="4" t="s">
        <v>747</v>
      </c>
      <c r="B512" s="5" t="s">
        <v>37</v>
      </c>
      <c r="C512" s="6">
        <v>45834</v>
      </c>
      <c r="D512" s="7">
        <v>886911</v>
      </c>
      <c r="E512" s="5" t="str">
        <f>_xlfn.XLOOKUP(D512,[1]!Tabela24[Código consultor],[1]!Tabela24[Consultor Venda],0,0,1)</f>
        <v>COM - SOC - KAUAN ARAUJO SILVA</v>
      </c>
      <c r="F512" s="5" t="str">
        <f>_xlfn.XLOOKUP(D512,[1]!Tabela24[Código consultor],[1]!Tabela24[Canal Consultor],0,0,1)</f>
        <v>Pap</v>
      </c>
      <c r="G512" s="5" t="str">
        <f>_xlfn.XLOOKUP(B512,[1]!Tabela1[[Cidades ]],[1]!Tabela1[Regional],0,0,1)</f>
        <v>Jean</v>
      </c>
      <c r="H512" s="8" t="str">
        <f>_xlfn.XLOOKUP(B512,[1]!Tabela1[[Cidades ]],[1]!Tabela1[Gerente],0,0,1)</f>
        <v>Demais coordenadores</v>
      </c>
    </row>
    <row r="513" spans="1:8" x14ac:dyDescent="0.3">
      <c r="A513" s="9" t="s">
        <v>649</v>
      </c>
      <c r="B513" s="10" t="s">
        <v>34</v>
      </c>
      <c r="C513" s="11">
        <v>45834</v>
      </c>
      <c r="D513" s="12">
        <v>729970</v>
      </c>
      <c r="E513" s="5" t="str">
        <f>_xlfn.XLOOKUP(D513,[1]!Tabela24[Código consultor],[1]!Tabela24[Consultor Venda],0,0,1)</f>
        <v>COM - UMR - VINICIUS HENRIQUE HUSS DA MOTA</v>
      </c>
      <c r="F513" s="5" t="str">
        <f>_xlfn.XLOOKUP(D513,[1]!Tabela24[Código consultor],[1]!Tabela24[Canal Consultor],0,0,1)</f>
        <v>INTERNO</v>
      </c>
      <c r="G513" s="10" t="str">
        <f>_xlfn.XLOOKUP(B513,[1]!Tabela1[[Cidades ]],[1]!Tabela1[Regional],0,0,1)</f>
        <v>Alisson</v>
      </c>
      <c r="H513" s="13" t="str">
        <f>_xlfn.XLOOKUP(B513,[1]!Tabela1[[Cidades ]],[1]!Tabela1[Gerente],0,0,1)</f>
        <v>Karine</v>
      </c>
    </row>
    <row r="514" spans="1:8" x14ac:dyDescent="0.3">
      <c r="A514" s="4" t="s">
        <v>748</v>
      </c>
      <c r="B514" s="5" t="s">
        <v>31</v>
      </c>
      <c r="C514" s="6">
        <v>45834</v>
      </c>
      <c r="D514" s="7">
        <v>694166</v>
      </c>
      <c r="E514" s="5" t="str">
        <f>_xlfn.XLOOKUP(D514,[1]!Tabela24[Código consultor],[1]!Tabela24[Consultor Venda],0,0,1)</f>
        <v>DIG - CCO - CARINE CORREA SOARES</v>
      </c>
      <c r="F514" s="5" t="str">
        <f>_xlfn.XLOOKUP(D514,[1]!Tabela24[Código consultor],[1]!Tabela24[Canal Consultor],0,0,1)</f>
        <v>DIGITAL</v>
      </c>
      <c r="G514" s="5" t="str">
        <f>_xlfn.XLOOKUP(B514,[1]!Tabela1[[Cidades ]],[1]!Tabela1[Regional],0,0,1)</f>
        <v>Maycon</v>
      </c>
      <c r="H514" s="8" t="str">
        <f>_xlfn.XLOOKUP(B514,[1]!Tabela1[[Cidades ]],[1]!Tabela1[Gerente],0,0,1)</f>
        <v>Demais coordenadores</v>
      </c>
    </row>
    <row r="515" spans="1:8" x14ac:dyDescent="0.3">
      <c r="A515" s="9" t="s">
        <v>749</v>
      </c>
      <c r="B515" s="10" t="s">
        <v>37</v>
      </c>
      <c r="C515" s="11">
        <v>45834</v>
      </c>
      <c r="D515" s="12">
        <v>886641</v>
      </c>
      <c r="E515" s="5" t="str">
        <f>_xlfn.XLOOKUP(D515,[1]!Tabela24[Código consultor],[1]!Tabela24[Consultor Venda],0,0,1)</f>
        <v>COM - SOC - RAPHAEL VITORINO RIBEIRO</v>
      </c>
      <c r="F515" s="5" t="str">
        <f>_xlfn.XLOOKUP(D515,[1]!Tabela24[Código consultor],[1]!Tabela24[Canal Consultor],0,0,1)</f>
        <v>Pap</v>
      </c>
      <c r="G515" s="10" t="str">
        <f>_xlfn.XLOOKUP(B515,[1]!Tabela1[[Cidades ]],[1]!Tabela1[Regional],0,0,1)</f>
        <v>Jean</v>
      </c>
      <c r="H515" s="13" t="str">
        <f>_xlfn.XLOOKUP(B515,[1]!Tabela1[[Cidades ]],[1]!Tabela1[Gerente],0,0,1)</f>
        <v>Demais coordenadores</v>
      </c>
    </row>
    <row r="516" spans="1:8" x14ac:dyDescent="0.3">
      <c r="A516" s="4" t="s">
        <v>653</v>
      </c>
      <c r="B516" s="5" t="s">
        <v>62</v>
      </c>
      <c r="C516" s="6">
        <v>45834</v>
      </c>
      <c r="D516" s="7">
        <v>617463</v>
      </c>
      <c r="E516" s="5" t="str">
        <f>_xlfn.XLOOKUP(D516,[1]!Tabela24[Código consultor],[1]!Tabela24[Consultor Venda],0,0,1)</f>
        <v>DIG - CCO - ALEX AUGUSTO DA CRUZ RODRIGUES</v>
      </c>
      <c r="F516" s="5" t="str">
        <f>_xlfn.XLOOKUP(D516,[1]!Tabela24[Código consultor],[1]!Tabela24[Canal Consultor],0,0,1)</f>
        <v>DIGITAL</v>
      </c>
      <c r="G516" s="5" t="str">
        <f>_xlfn.XLOOKUP(B516,[1]!Tabela1[[Cidades ]],[1]!Tabela1[Regional],0,0,1)</f>
        <v>Adilson</v>
      </c>
      <c r="H516" s="8" t="str">
        <f>_xlfn.XLOOKUP(B516,[1]!Tabela1[[Cidades ]],[1]!Tabela1[Gerente],0,0,1)</f>
        <v>Demais coordenadores</v>
      </c>
    </row>
    <row r="517" spans="1:8" x14ac:dyDescent="0.3">
      <c r="A517" s="9" t="s">
        <v>654</v>
      </c>
      <c r="B517" s="10" t="s">
        <v>12</v>
      </c>
      <c r="C517" s="11">
        <v>45834</v>
      </c>
      <c r="D517" s="12">
        <v>40828</v>
      </c>
      <c r="E517" s="5" t="str">
        <f>_xlfn.XLOOKUP(D517,[1]!Tabela24[Código consultor],[1]!Tabela24[Consultor Venda],0,0,1)</f>
        <v>COM - PGO - CRISTIANE APARECIDA CHIAMULERA</v>
      </c>
      <c r="F517" s="5" t="str">
        <f>_xlfn.XLOOKUP(D517,[1]!Tabela24[Código consultor],[1]!Tabela24[Canal Consultor],0,0,1)</f>
        <v>Pap</v>
      </c>
      <c r="G517" s="10" t="str">
        <f>_xlfn.XLOOKUP(B517,[1]!Tabela1[[Cidades ]],[1]!Tabela1[Regional],0,0,1)</f>
        <v>Jean</v>
      </c>
      <c r="H517" s="13" t="str">
        <f>_xlfn.XLOOKUP(B517,[1]!Tabela1[[Cidades ]],[1]!Tabela1[Gerente],0,0,1)</f>
        <v>Demais coordenadores</v>
      </c>
    </row>
    <row r="518" spans="1:8" x14ac:dyDescent="0.3">
      <c r="A518" s="4" t="s">
        <v>655</v>
      </c>
      <c r="B518" s="5" t="s">
        <v>19</v>
      </c>
      <c r="C518" s="6">
        <v>45834</v>
      </c>
      <c r="D518" s="7">
        <v>822704</v>
      </c>
      <c r="E518" s="5" t="str">
        <f>_xlfn.XLOOKUP(D518,[1]!Tabela24[Código consultor],[1]!Tabela24[Consultor Venda],0,0,1)</f>
        <v>PAR - PAP - V S MONTEIRO - VINICIUS SILVA MONTEIRO</v>
      </c>
      <c r="F518" s="5" t="str">
        <f>_xlfn.XLOOKUP(D518,[1]!Tabela24[Código consultor],[1]!Tabela24[Canal Consultor],0,0,1)</f>
        <v>PAR</v>
      </c>
      <c r="G518" s="5" t="str">
        <f>_xlfn.XLOOKUP(B518,[1]!Tabela1[[Cidades ]],[1]!Tabela1[Regional],0,0,1)</f>
        <v>Magno</v>
      </c>
      <c r="H518" s="8" t="str">
        <f>_xlfn.XLOOKUP(B518,[1]!Tabela1[[Cidades ]],[1]!Tabela1[Gerente],0,0,1)</f>
        <v>Demais coordenadores</v>
      </c>
    </row>
    <row r="519" spans="1:8" x14ac:dyDescent="0.3">
      <c r="A519" s="9" t="s">
        <v>750</v>
      </c>
      <c r="B519" s="10" t="s">
        <v>53</v>
      </c>
      <c r="C519" s="11">
        <v>45834</v>
      </c>
      <c r="D519" s="12">
        <v>862559</v>
      </c>
      <c r="E519" s="5" t="str">
        <f>_xlfn.XLOOKUP(D519,[1]!Tabela24[Código consultor],[1]!Tabela24[Consultor Venda],0,0,1)</f>
        <v>COM - DOS - EDUARDA DOS SANTOS LIRA FONTELES</v>
      </c>
      <c r="F519" s="5" t="str">
        <f>_xlfn.XLOOKUP(D519,[1]!Tabela24[Código consultor],[1]!Tabela24[Canal Consultor],0,0,1)</f>
        <v>Pap</v>
      </c>
      <c r="G519" s="10" t="str">
        <f>_xlfn.XLOOKUP(B519,[1]!Tabela1[[Cidades ]],[1]!Tabela1[Regional],0,0,1)</f>
        <v>Adilson</v>
      </c>
      <c r="H519" s="13" t="str">
        <f>_xlfn.XLOOKUP(B519,[1]!Tabela1[[Cidades ]],[1]!Tabela1[Gerente],0,0,1)</f>
        <v>Demais coordenadores</v>
      </c>
    </row>
    <row r="520" spans="1:8" x14ac:dyDescent="0.3">
      <c r="A520" s="4" t="s">
        <v>753</v>
      </c>
      <c r="B520" s="5" t="s">
        <v>11</v>
      </c>
      <c r="C520" s="6">
        <v>45835</v>
      </c>
      <c r="D520" s="7">
        <v>262147</v>
      </c>
      <c r="E520" s="5" t="str">
        <f>_xlfn.XLOOKUP(D520,[1]!Tabela24[Código consultor],[1]!Tabela24[Consultor Venda],0,0,1)</f>
        <v>COM - GTI - ALESANDRA PETRY BRAZEIRO</v>
      </c>
      <c r="F520" s="5" t="str">
        <f>_xlfn.XLOOKUP(D520,[1]!Tabela24[Código consultor],[1]!Tabela24[Canal Consultor],0,0,1)</f>
        <v>Pap</v>
      </c>
      <c r="G520" s="5" t="str">
        <f>_xlfn.XLOOKUP(B520,[1]!Tabela1[[Cidades ]],[1]!Tabela1[Regional],0,0,1)</f>
        <v>Magno</v>
      </c>
      <c r="H520" s="8" t="str">
        <f>_xlfn.XLOOKUP(B520,[1]!Tabela1[[Cidades ]],[1]!Tabela1[Gerente],0,0,1)</f>
        <v>Demais coordenadores</v>
      </c>
    </row>
    <row r="521" spans="1:8" x14ac:dyDescent="0.3">
      <c r="A521" s="9" t="s">
        <v>108</v>
      </c>
      <c r="B521" s="10" t="s">
        <v>30</v>
      </c>
      <c r="C521" s="11">
        <v>45835</v>
      </c>
      <c r="D521" s="12">
        <v>867522</v>
      </c>
      <c r="E521" s="5" t="str">
        <f>_xlfn.XLOOKUP(D521,[1]!Tabela24[Código consultor],[1]!Tabela24[Consultor Venda],0,0,1)</f>
        <v>COM - IGA - SANDRO CESAR MARTINS</v>
      </c>
      <c r="F521" s="5" t="str">
        <f>_xlfn.XLOOKUP(D521,[1]!Tabela24[Código consultor],[1]!Tabela24[Canal Consultor],0,0,1)</f>
        <v>Pap</v>
      </c>
      <c r="G521" s="10" t="str">
        <f>_xlfn.XLOOKUP(B521,[1]!Tabela1[[Cidades ]],[1]!Tabela1[Regional],0,0,1)</f>
        <v>Jean</v>
      </c>
      <c r="H521" s="13" t="str">
        <f>_xlfn.XLOOKUP(B521,[1]!Tabela1[[Cidades ]],[1]!Tabela1[Gerente],0,0,1)</f>
        <v>Demais coordenadores</v>
      </c>
    </row>
    <row r="522" spans="1:8" x14ac:dyDescent="0.3">
      <c r="A522" s="4" t="s">
        <v>770</v>
      </c>
      <c r="B522" s="5" t="s">
        <v>10</v>
      </c>
      <c r="C522" s="6">
        <v>45835</v>
      </c>
      <c r="D522" s="7">
        <v>788656</v>
      </c>
      <c r="E522" s="5" t="str">
        <f>_xlfn.XLOOKUP(D522,[1]!Tabela24[Código consultor],[1]!Tabela24[Consultor Venda],0,0,1)</f>
        <v>PAR - STB - PAP - JOY TELECOM - GABRIELA ALVES DE GODOY</v>
      </c>
      <c r="F522" s="5" t="str">
        <f>_xlfn.XLOOKUP(D522,[1]!Tabela24[Código consultor],[1]!Tabela24[Canal Consultor],0,0,1)</f>
        <v>PAR_DIG</v>
      </c>
      <c r="G522" s="5" t="str">
        <f>_xlfn.XLOOKUP(B522,[1]!Tabela1[[Cidades ]],[1]!Tabela1[Regional],0,0,1)</f>
        <v>Jean</v>
      </c>
      <c r="H522" s="8" t="str">
        <f>_xlfn.XLOOKUP(B522,[1]!Tabela1[[Cidades ]],[1]!Tabela1[Gerente],0,0,1)</f>
        <v>Demais coordenadores</v>
      </c>
    </row>
    <row r="523" spans="1:8" x14ac:dyDescent="0.3">
      <c r="A523" s="9" t="s">
        <v>783</v>
      </c>
      <c r="B523" s="10" t="s">
        <v>22</v>
      </c>
      <c r="C523" s="11">
        <v>45835</v>
      </c>
      <c r="D523" s="12">
        <v>736256</v>
      </c>
      <c r="E523" s="5" t="str">
        <f>_xlfn.XLOOKUP(D523,[1]!Tabela24[Código consultor],[1]!Tabela24[Consultor Venda],0,0,1)</f>
        <v>COM - SCR - JANICE CRISTINA RODRIGUES</v>
      </c>
      <c r="F523" s="5" t="str">
        <f>_xlfn.XLOOKUP(D523,[1]!Tabela24[Código consultor],[1]!Tabela24[Canal Consultor],0,0,1)</f>
        <v>INTERNO</v>
      </c>
      <c r="G523" s="10" t="str">
        <f>_xlfn.XLOOKUP(B523,[1]!Tabela1[[Cidades ]],[1]!Tabela1[Regional],0,0,1)</f>
        <v>Magno</v>
      </c>
      <c r="H523" s="13" t="str">
        <f>_xlfn.XLOOKUP(B523,[1]!Tabela1[[Cidades ]],[1]!Tabela1[Gerente],0,0,1)</f>
        <v>Demais coordenadores</v>
      </c>
    </row>
    <row r="524" spans="1:8" x14ac:dyDescent="0.3">
      <c r="A524" s="4" t="s">
        <v>186</v>
      </c>
      <c r="B524" s="5" t="s">
        <v>37</v>
      </c>
      <c r="C524" s="6">
        <v>45835</v>
      </c>
      <c r="D524" s="7">
        <v>886911</v>
      </c>
      <c r="E524" s="5" t="str">
        <f>_xlfn.XLOOKUP(D524,[1]!Tabela24[Código consultor],[1]!Tabela24[Consultor Venda],0,0,1)</f>
        <v>COM - SOC - KAUAN ARAUJO SILVA</v>
      </c>
      <c r="F524" s="5" t="str">
        <f>_xlfn.XLOOKUP(D524,[1]!Tabela24[Código consultor],[1]!Tabela24[Canal Consultor],0,0,1)</f>
        <v>Pap</v>
      </c>
      <c r="G524" s="5" t="str">
        <f>_xlfn.XLOOKUP(B524,[1]!Tabela1[[Cidades ]],[1]!Tabela1[Regional],0,0,1)</f>
        <v>Jean</v>
      </c>
      <c r="H524" s="8" t="str">
        <f>_xlfn.XLOOKUP(B524,[1]!Tabela1[[Cidades ]],[1]!Tabela1[Gerente],0,0,1)</f>
        <v>Demais coordenadores</v>
      </c>
    </row>
    <row r="525" spans="1:8" x14ac:dyDescent="0.3">
      <c r="A525" s="9" t="s">
        <v>250</v>
      </c>
      <c r="B525" s="10" t="s">
        <v>60</v>
      </c>
      <c r="C525" s="11">
        <v>45835</v>
      </c>
      <c r="D525" s="12">
        <v>377654</v>
      </c>
      <c r="E525" s="5" t="str">
        <f>_xlfn.XLOOKUP(D525,[1]!Tabela24[Código consultor],[1]!Tabela24[Consultor Venda],0,0,1)</f>
        <v>BKO - CCO - JOSE HENRIQUE TOURINHO DE CARVALHO</v>
      </c>
      <c r="F525" s="5" t="str">
        <f>_xlfn.XLOOKUP(D525,[1]!Tabela24[Código consultor],[1]!Tabela24[Canal Consultor],0,0,1)</f>
        <v>ADM Interno</v>
      </c>
      <c r="G525" s="10" t="str">
        <f>_xlfn.XLOOKUP(B525,[1]!Tabela1[[Cidades ]],[1]!Tabela1[Regional],0,0,1)</f>
        <v>Magno</v>
      </c>
      <c r="H525" s="13" t="str">
        <f>_xlfn.XLOOKUP(B525,[1]!Tabela1[[Cidades ]],[1]!Tabela1[Gerente],0,0,1)</f>
        <v>Demais coordenadores</v>
      </c>
    </row>
    <row r="526" spans="1:8" x14ac:dyDescent="0.3">
      <c r="A526" s="4" t="s">
        <v>795</v>
      </c>
      <c r="B526" s="5" t="s">
        <v>22</v>
      </c>
      <c r="C526" s="6">
        <v>45835</v>
      </c>
      <c r="D526" s="7">
        <v>884801</v>
      </c>
      <c r="E526" s="5" t="str">
        <f>_xlfn.XLOOKUP(D526,[1]!Tabela24[Código consultor],[1]!Tabela24[Consultor Venda],0,0,1)</f>
        <v>COM - SCR - JOAO UALISON DOS SANTOS SIMIANER</v>
      </c>
      <c r="F526" s="5" t="str">
        <f>_xlfn.XLOOKUP(D526,[1]!Tabela24[Código consultor],[1]!Tabela24[Canal Consultor],0,0,1)</f>
        <v>INTERNO</v>
      </c>
      <c r="G526" s="5" t="str">
        <f>_xlfn.XLOOKUP(B526,[1]!Tabela1[[Cidades ]],[1]!Tabela1[Regional],0,0,1)</f>
        <v>Magno</v>
      </c>
      <c r="H526" s="8" t="str">
        <f>_xlfn.XLOOKUP(B526,[1]!Tabela1[[Cidades ]],[1]!Tabela1[Gerente],0,0,1)</f>
        <v>Demais coordenadores</v>
      </c>
    </row>
    <row r="527" spans="1:8" x14ac:dyDescent="0.3">
      <c r="A527" s="9" t="s">
        <v>799</v>
      </c>
      <c r="B527" s="10" t="s">
        <v>115</v>
      </c>
      <c r="C527" s="11">
        <v>45835</v>
      </c>
      <c r="D527" s="12">
        <v>738880</v>
      </c>
      <c r="E527" s="5" t="str">
        <f>_xlfn.XLOOKUP(D527,[1]!Tabela24[Código consultor],[1]!Tabela24[Consultor Venda],0,0,1)</f>
        <v>PAR - PAP - MUNDIALE - ANA LUIZA COUTO MATIAS</v>
      </c>
      <c r="F527" s="5" t="str">
        <f>_xlfn.XLOOKUP(D527,[1]!Tabela24[Código consultor],[1]!Tabela24[Canal Consultor],0,0,1)</f>
        <v>PAR_DIG</v>
      </c>
      <c r="G527" s="10" t="str">
        <f>_xlfn.XLOOKUP(B527,[1]!Tabela1[[Cidades ]],[1]!Tabela1[Regional],0,0,1)</f>
        <v>Jean</v>
      </c>
      <c r="H527" s="13" t="str">
        <f>_xlfn.XLOOKUP(B527,[1]!Tabela1[[Cidades ]],[1]!Tabela1[Gerente],0,0,1)</f>
        <v>Demais coordenadores</v>
      </c>
    </row>
    <row r="528" spans="1:8" x14ac:dyDescent="0.3">
      <c r="A528" s="4" t="s">
        <v>751</v>
      </c>
      <c r="B528" s="5" t="s">
        <v>39</v>
      </c>
      <c r="C528" s="6">
        <v>45835</v>
      </c>
      <c r="D528" s="7">
        <v>547570</v>
      </c>
      <c r="E528" s="5" t="str">
        <f>_xlfn.XLOOKUP(D528,[1]!Tabela24[Código consultor],[1]!Tabela24[Consultor Venda],0,0,1)</f>
        <v>COM - LGS - ISABEL CRISTINA RODRIGUES DE JESUS</v>
      </c>
      <c r="F528" s="5" t="str">
        <f>_xlfn.XLOOKUP(D528,[1]!Tabela24[Código consultor],[1]!Tabela24[Canal Consultor],0,0,1)</f>
        <v>INTERNO</v>
      </c>
      <c r="G528" s="5" t="str">
        <f>_xlfn.XLOOKUP(B528,[1]!Tabela1[[Cidades ]],[1]!Tabela1[Regional],0,0,1)</f>
        <v>Marcio</v>
      </c>
      <c r="H528" s="8" t="str">
        <f>_xlfn.XLOOKUP(B528,[1]!Tabela1[[Cidades ]],[1]!Tabela1[Gerente],0,0,1)</f>
        <v>Demais coordenadores</v>
      </c>
    </row>
    <row r="529" spans="1:8" x14ac:dyDescent="0.3">
      <c r="A529" s="9" t="s">
        <v>752</v>
      </c>
      <c r="B529" s="10" t="s">
        <v>11</v>
      </c>
      <c r="C529" s="11">
        <v>45835</v>
      </c>
      <c r="D529" s="12">
        <v>788656</v>
      </c>
      <c r="E529" s="5" t="str">
        <f>_xlfn.XLOOKUP(D529,[1]!Tabela24[Código consultor],[1]!Tabela24[Consultor Venda],0,0,1)</f>
        <v>PAR - STB - PAP - JOY TELECOM - GABRIELA ALVES DE GODOY</v>
      </c>
      <c r="F529" s="5" t="str">
        <f>_xlfn.XLOOKUP(D529,[1]!Tabela24[Código consultor],[1]!Tabela24[Canal Consultor],0,0,1)</f>
        <v>PAR_DIG</v>
      </c>
      <c r="G529" s="10" t="str">
        <f>_xlfn.XLOOKUP(B529,[1]!Tabela1[[Cidades ]],[1]!Tabela1[Regional],0,0,1)</f>
        <v>Magno</v>
      </c>
      <c r="H529" s="13" t="str">
        <f>_xlfn.XLOOKUP(B529,[1]!Tabela1[[Cidades ]],[1]!Tabela1[Gerente],0,0,1)</f>
        <v>Demais coordenadores</v>
      </c>
    </row>
    <row r="530" spans="1:8" x14ac:dyDescent="0.3">
      <c r="A530" s="4" t="s">
        <v>829</v>
      </c>
      <c r="B530" s="5" t="s">
        <v>34</v>
      </c>
      <c r="C530" s="6">
        <v>45835</v>
      </c>
      <c r="D530" s="7">
        <v>788656</v>
      </c>
      <c r="E530" s="5" t="str">
        <f>_xlfn.XLOOKUP(D530,[1]!Tabela24[Código consultor],[1]!Tabela24[Consultor Venda],0,0,1)</f>
        <v>PAR - STB - PAP - JOY TELECOM - GABRIELA ALVES DE GODOY</v>
      </c>
      <c r="F530" s="5" t="str">
        <f>_xlfn.XLOOKUP(D530,[1]!Tabela24[Código consultor],[1]!Tabela24[Canal Consultor],0,0,1)</f>
        <v>PAR_DIG</v>
      </c>
      <c r="G530" s="5" t="str">
        <f>_xlfn.XLOOKUP(B530,[1]!Tabela1[[Cidades ]],[1]!Tabela1[Regional],0,0,1)</f>
        <v>Alisson</v>
      </c>
      <c r="H530" s="8" t="str">
        <f>_xlfn.XLOOKUP(B530,[1]!Tabela1[[Cidades ]],[1]!Tabela1[Gerente],0,0,1)</f>
        <v>Karine</v>
      </c>
    </row>
    <row r="531" spans="1:8" x14ac:dyDescent="0.3">
      <c r="A531" s="9" t="s">
        <v>853</v>
      </c>
      <c r="B531" s="10" t="s">
        <v>11</v>
      </c>
      <c r="C531" s="11">
        <v>45835</v>
      </c>
      <c r="D531" s="12">
        <v>861705</v>
      </c>
      <c r="E531" s="5" t="str">
        <f>_xlfn.XLOOKUP(D531,[1]!Tabela24[Código consultor],[1]!Tabela24[Consultor Venda],0,0,1)</f>
        <v>PAR - COM - PAP - TQR - ERIKA DE OLIVEIRA GALLE</v>
      </c>
      <c r="F531" s="5" t="str">
        <f>_xlfn.XLOOKUP(D531,[1]!Tabela24[Código consultor],[1]!Tabela24[Canal Consultor],0,0,1)</f>
        <v>PAR</v>
      </c>
      <c r="G531" s="10" t="str">
        <f>_xlfn.XLOOKUP(B531,[1]!Tabela1[[Cidades ]],[1]!Tabela1[Regional],0,0,1)</f>
        <v>Magno</v>
      </c>
      <c r="H531" s="13" t="str">
        <f>_xlfn.XLOOKUP(B531,[1]!Tabela1[[Cidades ]],[1]!Tabela1[Gerente],0,0,1)</f>
        <v>Demais coordenadores</v>
      </c>
    </row>
    <row r="532" spans="1:8" x14ac:dyDescent="0.3">
      <c r="A532" s="4" t="s">
        <v>875</v>
      </c>
      <c r="B532" s="5" t="s">
        <v>22</v>
      </c>
      <c r="C532" s="6">
        <v>45835</v>
      </c>
      <c r="D532" s="7">
        <v>736256</v>
      </c>
      <c r="E532" s="5" t="str">
        <f>_xlfn.XLOOKUP(D532,[1]!Tabela24[Código consultor],[1]!Tabela24[Consultor Venda],0,0,1)</f>
        <v>COM - SCR - JANICE CRISTINA RODRIGUES</v>
      </c>
      <c r="F532" s="5" t="str">
        <f>_xlfn.XLOOKUP(D532,[1]!Tabela24[Código consultor],[1]!Tabela24[Canal Consultor],0,0,1)</f>
        <v>INTERNO</v>
      </c>
      <c r="G532" s="5" t="str">
        <f>_xlfn.XLOOKUP(B532,[1]!Tabela1[[Cidades ]],[1]!Tabela1[Regional],0,0,1)</f>
        <v>Magno</v>
      </c>
      <c r="H532" s="8" t="str">
        <f>_xlfn.XLOOKUP(B532,[1]!Tabela1[[Cidades ]],[1]!Tabela1[Gerente],0,0,1)</f>
        <v>Demais coordenadores</v>
      </c>
    </row>
    <row r="533" spans="1:8" x14ac:dyDescent="0.3">
      <c r="A533" s="9" t="s">
        <v>892</v>
      </c>
      <c r="B533" s="10" t="s">
        <v>11</v>
      </c>
      <c r="C533" s="11">
        <v>45835</v>
      </c>
      <c r="D533" s="12">
        <v>683349</v>
      </c>
      <c r="E533" s="5" t="str">
        <f>_xlfn.XLOOKUP(D533,[1]!Tabela24[Código consultor],[1]!Tabela24[Consultor Venda],0,0,1)</f>
        <v>DIG - CCO - EVELLIN SALOA MAIA DA CONCEICAO</v>
      </c>
      <c r="F533" s="5" t="str">
        <f>_xlfn.XLOOKUP(D533,[1]!Tabela24[Código consultor],[1]!Tabela24[Canal Consultor],0,0,1)</f>
        <v>DIGITAL</v>
      </c>
      <c r="G533" s="10" t="str">
        <f>_xlfn.XLOOKUP(B533,[1]!Tabela1[[Cidades ]],[1]!Tabela1[Regional],0,0,1)</f>
        <v>Magno</v>
      </c>
      <c r="H533" s="13" t="str">
        <f>_xlfn.XLOOKUP(B533,[1]!Tabela1[[Cidades ]],[1]!Tabela1[Gerente],0,0,1)</f>
        <v>Demais coordenadores</v>
      </c>
    </row>
    <row r="534" spans="1:8" x14ac:dyDescent="0.3">
      <c r="A534" s="4" t="s">
        <v>895</v>
      </c>
      <c r="B534" s="5" t="s">
        <v>29</v>
      </c>
      <c r="C534" s="6">
        <v>45835</v>
      </c>
      <c r="D534" s="7">
        <v>233138</v>
      </c>
      <c r="E534" s="5" t="str">
        <f>_xlfn.XLOOKUP(D534,[1]!Tabela24[Código consultor],[1]!Tabela24[Consultor Venda],0,0,1)</f>
        <v>PAR - INTE - GRP - MOBILE HD - ALINE KARNOSKI</v>
      </c>
      <c r="F534" s="5" t="str">
        <f>_xlfn.XLOOKUP(D534,[1]!Tabela24[Código consultor],[1]!Tabela24[Canal Consultor],0,0,1)</f>
        <v>PAR</v>
      </c>
      <c r="G534" s="5" t="str">
        <f>_xlfn.XLOOKUP(B534,[1]!Tabela1[[Cidades ]],[1]!Tabela1[Regional],0,0,1)</f>
        <v>Adilson</v>
      </c>
      <c r="H534" s="8" t="str">
        <f>_xlfn.XLOOKUP(B534,[1]!Tabela1[[Cidades ]],[1]!Tabela1[Gerente],0,0,1)</f>
        <v>Demais coordenadores</v>
      </c>
    </row>
    <row r="535" spans="1:8" x14ac:dyDescent="0.3">
      <c r="A535" s="9" t="s">
        <v>916</v>
      </c>
      <c r="B535" s="10" t="s">
        <v>22</v>
      </c>
      <c r="C535" s="11">
        <v>45835</v>
      </c>
      <c r="D535" s="12">
        <v>884801</v>
      </c>
      <c r="E535" s="5" t="str">
        <f>_xlfn.XLOOKUP(D535,[1]!Tabela24[Código consultor],[1]!Tabela24[Consultor Venda],0,0,1)</f>
        <v>COM - SCR - JOAO UALISON DOS SANTOS SIMIANER</v>
      </c>
      <c r="F535" s="5" t="str">
        <f>_xlfn.XLOOKUP(D535,[1]!Tabela24[Código consultor],[1]!Tabela24[Canal Consultor],0,0,1)</f>
        <v>INTERNO</v>
      </c>
      <c r="G535" s="10" t="str">
        <f>_xlfn.XLOOKUP(B535,[1]!Tabela1[[Cidades ]],[1]!Tabela1[Regional],0,0,1)</f>
        <v>Magno</v>
      </c>
      <c r="H535" s="13" t="str">
        <f>_xlfn.XLOOKUP(B535,[1]!Tabela1[[Cidades ]],[1]!Tabela1[Gerente],0,0,1)</f>
        <v>Demais coordenadores</v>
      </c>
    </row>
    <row r="536" spans="1:8" x14ac:dyDescent="0.3">
      <c r="A536" s="4" t="s">
        <v>921</v>
      </c>
      <c r="B536" s="5" t="s">
        <v>22</v>
      </c>
      <c r="C536" s="6">
        <v>45835</v>
      </c>
      <c r="D536" s="7">
        <v>822770</v>
      </c>
      <c r="E536" s="5" t="str">
        <f>_xlfn.XLOOKUP(D536,[1]!Tabela24[Código consultor],[1]!Tabela24[Consultor Venda],0,0,1)</f>
        <v>COM - SCR - VINICIUS ALCEMAR DA SILVA</v>
      </c>
      <c r="F536" s="5" t="str">
        <f>_xlfn.XLOOKUP(D536,[1]!Tabela24[Código consultor],[1]!Tabela24[Canal Consultor],0,0,1)</f>
        <v>Pap</v>
      </c>
      <c r="G536" s="5" t="str">
        <f>_xlfn.XLOOKUP(B536,[1]!Tabela1[[Cidades ]],[1]!Tabela1[Regional],0,0,1)</f>
        <v>Magno</v>
      </c>
      <c r="H536" s="8" t="str">
        <f>_xlfn.XLOOKUP(B536,[1]!Tabela1[[Cidades ]],[1]!Tabela1[Gerente],0,0,1)</f>
        <v>Demais coordenadores</v>
      </c>
    </row>
    <row r="537" spans="1:8" x14ac:dyDescent="0.3">
      <c r="A537" s="9" t="s">
        <v>932</v>
      </c>
      <c r="B537" s="10" t="s">
        <v>11</v>
      </c>
      <c r="C537" s="11">
        <v>45835</v>
      </c>
      <c r="D537" s="12">
        <v>780838</v>
      </c>
      <c r="E537" s="5" t="str">
        <f>_xlfn.XLOOKUP(D537,[1]!Tabela24[Código consultor],[1]!Tabela24[Consultor Venda],0,0,1)</f>
        <v>PAR - PAP - CSL - ALLNET - JEAN CARLO LOPES</v>
      </c>
      <c r="F537" s="5" t="str">
        <f>_xlfn.XLOOKUP(D537,[1]!Tabela24[Código consultor],[1]!Tabela24[Canal Consultor],0,0,1)</f>
        <v>PAR</v>
      </c>
      <c r="G537" s="10" t="str">
        <f>_xlfn.XLOOKUP(B537,[1]!Tabela1[[Cidades ]],[1]!Tabela1[Regional],0,0,1)</f>
        <v>Magno</v>
      </c>
      <c r="H537" s="13" t="str">
        <f>_xlfn.XLOOKUP(B537,[1]!Tabela1[[Cidades ]],[1]!Tabela1[Gerente],0,0,1)</f>
        <v>Demais coordenadores</v>
      </c>
    </row>
    <row r="538" spans="1:8" x14ac:dyDescent="0.3">
      <c r="A538" s="4" t="s">
        <v>212</v>
      </c>
      <c r="B538" s="5" t="s">
        <v>49</v>
      </c>
      <c r="C538" s="6">
        <v>45835</v>
      </c>
      <c r="D538" s="7">
        <v>235841</v>
      </c>
      <c r="E538" s="5" t="str">
        <f>_xlfn.XLOOKUP(D538,[1]!Tabela24[Código consultor],[1]!Tabela24[Consultor Venda],0,0,1)</f>
        <v>DIG - CCO - KAUANA BONI</v>
      </c>
      <c r="F538" s="5" t="str">
        <f>_xlfn.XLOOKUP(D538,[1]!Tabela24[Código consultor],[1]!Tabela24[Canal Consultor],0,0,1)</f>
        <v>DIGITAL</v>
      </c>
      <c r="G538" s="5" t="str">
        <f>_xlfn.XLOOKUP(B538,[1]!Tabela1[[Cidades ]],[1]!Tabela1[Regional],0,0,1)</f>
        <v>Adilson</v>
      </c>
      <c r="H538" s="8" t="str">
        <f>_xlfn.XLOOKUP(B538,[1]!Tabela1[[Cidades ]],[1]!Tabela1[Gerente],0,0,1)</f>
        <v>Demais coordenadores</v>
      </c>
    </row>
    <row r="539" spans="1:8" x14ac:dyDescent="0.3">
      <c r="A539" s="9" t="s">
        <v>249</v>
      </c>
      <c r="B539" s="10" t="s">
        <v>110</v>
      </c>
      <c r="C539" s="11">
        <v>45835</v>
      </c>
      <c r="D539" s="12">
        <v>600710</v>
      </c>
      <c r="E539" s="5" t="str">
        <f>_xlfn.XLOOKUP(D539,[1]!Tabela24[Código consultor],[1]!Tabela24[Consultor Venda],0,0,1)</f>
        <v>DIG - CCO - BRUNA BALBINOTTI</v>
      </c>
      <c r="F539" s="5" t="str">
        <f>_xlfn.XLOOKUP(D539,[1]!Tabela24[Código consultor],[1]!Tabela24[Canal Consultor],0,0,1)</f>
        <v>DIGITAL</v>
      </c>
      <c r="G539" s="10" t="str">
        <f>_xlfn.XLOOKUP(B539,[1]!Tabela1[[Cidades ]],[1]!Tabela1[Regional],0,0,1)</f>
        <v>Maycon</v>
      </c>
      <c r="H539" s="13" t="str">
        <f>_xlfn.XLOOKUP(B539,[1]!Tabela1[[Cidades ]],[1]!Tabela1[Gerente],0,0,1)</f>
        <v>Demais coordenadores</v>
      </c>
    </row>
    <row r="540" spans="1:8" x14ac:dyDescent="0.3">
      <c r="A540" s="4" t="s">
        <v>764</v>
      </c>
      <c r="B540" s="5" t="s">
        <v>23</v>
      </c>
      <c r="C540" s="6">
        <v>45835</v>
      </c>
      <c r="D540" s="7">
        <v>780838</v>
      </c>
      <c r="E540" s="5" t="str">
        <f>_xlfn.XLOOKUP(D540,[1]!Tabela24[Código consultor],[1]!Tabela24[Consultor Venda],0,0,1)</f>
        <v>PAR - PAP - CSL - ALLNET - JEAN CARLO LOPES</v>
      </c>
      <c r="F540" s="5" t="str">
        <f>_xlfn.XLOOKUP(D540,[1]!Tabela24[Código consultor],[1]!Tabela24[Canal Consultor],0,0,1)</f>
        <v>PAR</v>
      </c>
      <c r="G540" s="5" t="str">
        <f>_xlfn.XLOOKUP(B540,[1]!Tabela1[[Cidades ]],[1]!Tabela1[Regional],0,0,1)</f>
        <v>Magno</v>
      </c>
      <c r="H540" s="8" t="str">
        <f>_xlfn.XLOOKUP(B540,[1]!Tabela1[[Cidades ]],[1]!Tabela1[Gerente],0,0,1)</f>
        <v>Demais coordenadores</v>
      </c>
    </row>
    <row r="541" spans="1:8" x14ac:dyDescent="0.3">
      <c r="A541" s="9" t="s">
        <v>772</v>
      </c>
      <c r="B541" s="10" t="s">
        <v>26</v>
      </c>
      <c r="C541" s="11">
        <v>45835</v>
      </c>
      <c r="D541" s="12">
        <v>766248</v>
      </c>
      <c r="E541" s="5" t="str">
        <f>_xlfn.XLOOKUP(D541,[1]!Tabela24[Código consultor],[1]!Tabela24[Consultor Venda],0,0,1)</f>
        <v>COM - KDK - CAMILLY BUCHHORN BATISTA</v>
      </c>
      <c r="F541" s="5" t="str">
        <f>_xlfn.XLOOKUP(D541,[1]!Tabela24[Código consultor],[1]!Tabela24[Canal Consultor],0,0,1)</f>
        <v>INTERNO</v>
      </c>
      <c r="G541" s="10" t="str">
        <f>_xlfn.XLOOKUP(B541,[1]!Tabela1[[Cidades ]],[1]!Tabela1[Regional],0,0,1)</f>
        <v>Magno</v>
      </c>
      <c r="H541" s="13" t="str">
        <f>_xlfn.XLOOKUP(B541,[1]!Tabela1[[Cidades ]],[1]!Tabela1[Gerente],0,0,1)</f>
        <v>Demais coordenadores</v>
      </c>
    </row>
    <row r="542" spans="1:8" x14ac:dyDescent="0.3">
      <c r="A542" s="4" t="s">
        <v>774</v>
      </c>
      <c r="B542" s="5" t="s">
        <v>125</v>
      </c>
      <c r="C542" s="6">
        <v>45835</v>
      </c>
      <c r="D542" s="7">
        <v>177442</v>
      </c>
      <c r="E542" s="5" t="str">
        <f>_xlfn.XLOOKUP(D542,[1]!Tabela24[Código consultor],[1]!Tabela24[Consultor Venda],0,0,1)</f>
        <v>COM - XXE - MARCOS MEZZOMO</v>
      </c>
      <c r="F542" s="5" t="str">
        <f>_xlfn.XLOOKUP(D542,[1]!Tabela24[Código consultor],[1]!Tabela24[Canal Consultor],0,0,1)</f>
        <v>Pap</v>
      </c>
      <c r="G542" s="5" t="str">
        <f>_xlfn.XLOOKUP(B542,[1]!Tabela1[[Cidades ]],[1]!Tabela1[Regional],0,0,1)</f>
        <v>Maycon</v>
      </c>
      <c r="H542" s="8" t="str">
        <f>_xlfn.XLOOKUP(B542,[1]!Tabela1[[Cidades ]],[1]!Tabela1[Gerente],0,0,1)</f>
        <v>Demais coordenadores</v>
      </c>
    </row>
    <row r="543" spans="1:8" x14ac:dyDescent="0.3">
      <c r="A543" s="9" t="s">
        <v>776</v>
      </c>
      <c r="B543" s="10" t="s">
        <v>26</v>
      </c>
      <c r="C543" s="11">
        <v>45835</v>
      </c>
      <c r="D543" s="12">
        <v>882357</v>
      </c>
      <c r="E543" s="5" t="str">
        <f>_xlfn.XLOOKUP(D543,[1]!Tabela24[Código consultor],[1]!Tabela24[Consultor Venda],0,0,1)</f>
        <v>COM - GTI - CESAR ALFREDO MENSCH</v>
      </c>
      <c r="F543" s="5" t="str">
        <f>_xlfn.XLOOKUP(D543,[1]!Tabela24[Código consultor],[1]!Tabela24[Canal Consultor],0,0,1)</f>
        <v>Pap</v>
      </c>
      <c r="G543" s="10" t="str">
        <f>_xlfn.XLOOKUP(B543,[1]!Tabela1[[Cidades ]],[1]!Tabela1[Regional],0,0,1)</f>
        <v>Magno</v>
      </c>
      <c r="H543" s="13" t="str">
        <f>_xlfn.XLOOKUP(B543,[1]!Tabela1[[Cidades ]],[1]!Tabela1[Gerente],0,0,1)</f>
        <v>Demais coordenadores</v>
      </c>
    </row>
    <row r="544" spans="1:8" x14ac:dyDescent="0.3">
      <c r="A544" s="4" t="s">
        <v>169</v>
      </c>
      <c r="B544" s="5" t="s">
        <v>125</v>
      </c>
      <c r="C544" s="6">
        <v>45835</v>
      </c>
      <c r="D544" s="7">
        <v>177442</v>
      </c>
      <c r="E544" s="5" t="str">
        <f>_xlfn.XLOOKUP(D544,[1]!Tabela24[Código consultor],[1]!Tabela24[Consultor Venda],0,0,1)</f>
        <v>COM - XXE - MARCOS MEZZOMO</v>
      </c>
      <c r="F544" s="5" t="str">
        <f>_xlfn.XLOOKUP(D544,[1]!Tabela24[Código consultor],[1]!Tabela24[Canal Consultor],0,0,1)</f>
        <v>Pap</v>
      </c>
      <c r="G544" s="5" t="str">
        <f>_xlfn.XLOOKUP(B544,[1]!Tabela1[[Cidades ]],[1]!Tabela1[Regional],0,0,1)</f>
        <v>Maycon</v>
      </c>
      <c r="H544" s="8" t="str">
        <f>_xlfn.XLOOKUP(B544,[1]!Tabela1[[Cidades ]],[1]!Tabela1[Gerente],0,0,1)</f>
        <v>Demais coordenadores</v>
      </c>
    </row>
    <row r="545" spans="1:8" x14ac:dyDescent="0.3">
      <c r="A545" s="9" t="s">
        <v>777</v>
      </c>
      <c r="B545" s="10" t="s">
        <v>23</v>
      </c>
      <c r="C545" s="11">
        <v>45835</v>
      </c>
      <c r="D545" s="12">
        <v>652640</v>
      </c>
      <c r="E545" s="5" t="str">
        <f>_xlfn.XLOOKUP(D545,[1]!Tabela24[Código consultor],[1]!Tabela24[Consultor Venda],0,0,1)</f>
        <v>COM - CAN - ANDRIELE DA SILVA RANGEL</v>
      </c>
      <c r="F545" s="5" t="str">
        <f>_xlfn.XLOOKUP(D545,[1]!Tabela24[Código consultor],[1]!Tabela24[Canal Consultor],0,0,1)</f>
        <v>Pap</v>
      </c>
      <c r="G545" s="10" t="str">
        <f>_xlfn.XLOOKUP(B545,[1]!Tabela1[[Cidades ]],[1]!Tabela1[Regional],0,0,1)</f>
        <v>Magno</v>
      </c>
      <c r="H545" s="13" t="str">
        <f>_xlfn.XLOOKUP(B545,[1]!Tabela1[[Cidades ]],[1]!Tabela1[Gerente],0,0,1)</f>
        <v>Demais coordenadores</v>
      </c>
    </row>
    <row r="546" spans="1:8" x14ac:dyDescent="0.3">
      <c r="A546" s="4" t="s">
        <v>781</v>
      </c>
      <c r="B546" s="5" t="s">
        <v>11</v>
      </c>
      <c r="C546" s="6">
        <v>45835</v>
      </c>
      <c r="D546" s="7">
        <v>861705</v>
      </c>
      <c r="E546" s="5" t="str">
        <f>_xlfn.XLOOKUP(D546,[1]!Tabela24[Código consultor],[1]!Tabela24[Consultor Venda],0,0,1)</f>
        <v>PAR - COM - PAP - TQR - ERIKA DE OLIVEIRA GALLE</v>
      </c>
      <c r="F546" s="5" t="str">
        <f>_xlfn.XLOOKUP(D546,[1]!Tabela24[Código consultor],[1]!Tabela24[Canal Consultor],0,0,1)</f>
        <v>PAR</v>
      </c>
      <c r="G546" s="5" t="str">
        <f>_xlfn.XLOOKUP(B546,[1]!Tabela1[[Cidades ]],[1]!Tabela1[Regional],0,0,1)</f>
        <v>Magno</v>
      </c>
      <c r="H546" s="8" t="str">
        <f>_xlfn.XLOOKUP(B546,[1]!Tabela1[[Cidades ]],[1]!Tabela1[Gerente],0,0,1)</f>
        <v>Demais coordenadores</v>
      </c>
    </row>
    <row r="547" spans="1:8" x14ac:dyDescent="0.3">
      <c r="A547" s="9" t="s">
        <v>224</v>
      </c>
      <c r="B547" s="10" t="s">
        <v>42</v>
      </c>
      <c r="C547" s="11">
        <v>45835</v>
      </c>
      <c r="D547" s="12">
        <v>197832</v>
      </c>
      <c r="E547" s="5" t="str">
        <f>_xlfn.XLOOKUP(D547,[1]!Tabela24[Código consultor],[1]!Tabela24[Consultor Venda],0,0,1)</f>
        <v>DIG - CCO - RAIANE BERGAMIN</v>
      </c>
      <c r="F547" s="5" t="str">
        <f>_xlfn.XLOOKUP(D547,[1]!Tabela24[Código consultor],[1]!Tabela24[Canal Consultor],0,0,1)</f>
        <v>DIGITAL</v>
      </c>
      <c r="G547" s="10" t="str">
        <f>_xlfn.XLOOKUP(B547,[1]!Tabela1[[Cidades ]],[1]!Tabela1[Regional],0,0,1)</f>
        <v>Maycon</v>
      </c>
      <c r="H547" s="13" t="str">
        <f>_xlfn.XLOOKUP(B547,[1]!Tabela1[[Cidades ]],[1]!Tabela1[Gerente],0,0,1)</f>
        <v>Demais coordenadores</v>
      </c>
    </row>
    <row r="548" spans="1:8" x14ac:dyDescent="0.3">
      <c r="A548" s="4" t="s">
        <v>534</v>
      </c>
      <c r="B548" s="5" t="s">
        <v>23</v>
      </c>
      <c r="C548" s="6">
        <v>45835</v>
      </c>
      <c r="D548" s="7">
        <v>262147</v>
      </c>
      <c r="E548" s="5" t="str">
        <f>_xlfn.XLOOKUP(D548,[1]!Tabela24[Código consultor],[1]!Tabela24[Consultor Venda],0,0,1)</f>
        <v>COM - GTI - ALESANDRA PETRY BRAZEIRO</v>
      </c>
      <c r="F548" s="5" t="str">
        <f>_xlfn.XLOOKUP(D548,[1]!Tabela24[Código consultor],[1]!Tabela24[Canal Consultor],0,0,1)</f>
        <v>Pap</v>
      </c>
      <c r="G548" s="5" t="str">
        <f>_xlfn.XLOOKUP(B548,[1]!Tabela1[[Cidades ]],[1]!Tabela1[Regional],0,0,1)</f>
        <v>Magno</v>
      </c>
      <c r="H548" s="8" t="str">
        <f>_xlfn.XLOOKUP(B548,[1]!Tabela1[[Cidades ]],[1]!Tabela1[Gerente],0,0,1)</f>
        <v>Demais coordenadores</v>
      </c>
    </row>
    <row r="549" spans="1:8" x14ac:dyDescent="0.3">
      <c r="A549" s="9" t="s">
        <v>142</v>
      </c>
      <c r="B549" s="10" t="s">
        <v>25</v>
      </c>
      <c r="C549" s="11">
        <v>45835</v>
      </c>
      <c r="D549" s="12">
        <v>698940</v>
      </c>
      <c r="E549" s="5" t="str">
        <f>_xlfn.XLOOKUP(D549,[1]!Tabela24[Código consultor],[1]!Tabela24[Consultor Venda],0,0,1)</f>
        <v>COM - ADZ - ANDREIA MACHADO DE OLIVEIRA</v>
      </c>
      <c r="F549" s="5" t="str">
        <f>_xlfn.XLOOKUP(D549,[1]!Tabela24[Código consultor],[1]!Tabela24[Canal Consultor],0,0,1)</f>
        <v>INTERNO</v>
      </c>
      <c r="G549" s="10" t="str">
        <f>_xlfn.XLOOKUP(B549,[1]!Tabela1[[Cidades ]],[1]!Tabela1[Regional],0,0,1)</f>
        <v>Maycon</v>
      </c>
      <c r="H549" s="13" t="str">
        <f>_xlfn.XLOOKUP(B549,[1]!Tabela1[[Cidades ]],[1]!Tabela1[Gerente],0,0,1)</f>
        <v>Demais coordenadores</v>
      </c>
    </row>
    <row r="550" spans="1:8" x14ac:dyDescent="0.3">
      <c r="A550" s="4" t="s">
        <v>174</v>
      </c>
      <c r="B550" s="5" t="s">
        <v>125</v>
      </c>
      <c r="C550" s="6">
        <v>45835</v>
      </c>
      <c r="D550" s="7">
        <v>177442</v>
      </c>
      <c r="E550" s="5" t="str">
        <f>_xlfn.XLOOKUP(D550,[1]!Tabela24[Código consultor],[1]!Tabela24[Consultor Venda],0,0,1)</f>
        <v>COM - XXE - MARCOS MEZZOMO</v>
      </c>
      <c r="F550" s="5" t="str">
        <f>_xlfn.XLOOKUP(D550,[1]!Tabela24[Código consultor],[1]!Tabela24[Canal Consultor],0,0,1)</f>
        <v>Pap</v>
      </c>
      <c r="G550" s="5" t="str">
        <f>_xlfn.XLOOKUP(B550,[1]!Tabela1[[Cidades ]],[1]!Tabela1[Regional],0,0,1)</f>
        <v>Maycon</v>
      </c>
      <c r="H550" s="8" t="str">
        <f>_xlfn.XLOOKUP(B550,[1]!Tabela1[[Cidades ]],[1]!Tabela1[Gerente],0,0,1)</f>
        <v>Demais coordenadores</v>
      </c>
    </row>
    <row r="551" spans="1:8" x14ac:dyDescent="0.3">
      <c r="A551" s="9" t="s">
        <v>185</v>
      </c>
      <c r="B551" s="10" t="s">
        <v>41</v>
      </c>
      <c r="C551" s="11">
        <v>45835</v>
      </c>
      <c r="D551" s="12">
        <v>770958</v>
      </c>
      <c r="E551" s="5" t="str">
        <f>_xlfn.XLOOKUP(D551,[1]!Tabela24[Código consultor],[1]!Tabela24[Consultor Venda],0,0,1)</f>
        <v>COM - CLD - JOANNA LEDUR</v>
      </c>
      <c r="F551" s="5" t="str">
        <f>_xlfn.XLOOKUP(D551,[1]!Tabela24[Código consultor],[1]!Tabela24[Canal Consultor],0,0,1)</f>
        <v>INTERNO</v>
      </c>
      <c r="G551" s="10" t="str">
        <f>_xlfn.XLOOKUP(B551,[1]!Tabela1[[Cidades ]],[1]!Tabela1[Regional],0,0,1)</f>
        <v>Maycon</v>
      </c>
      <c r="H551" s="13" t="str">
        <f>_xlfn.XLOOKUP(B551,[1]!Tabela1[[Cidades ]],[1]!Tabela1[Gerente],0,0,1)</f>
        <v>Demais coordenadores</v>
      </c>
    </row>
    <row r="552" spans="1:8" x14ac:dyDescent="0.3">
      <c r="A552" s="4" t="s">
        <v>790</v>
      </c>
      <c r="B552" s="5" t="s">
        <v>31</v>
      </c>
      <c r="C552" s="6">
        <v>45835</v>
      </c>
      <c r="D552" s="7">
        <v>647350</v>
      </c>
      <c r="E552" s="5" t="str">
        <f>_xlfn.XLOOKUP(D552,[1]!Tabela24[Código consultor],[1]!Tabela24[Consultor Venda],0,0,1)</f>
        <v>COM - CCO - MILENA CAROLINA CARVALHO DE LIMA</v>
      </c>
      <c r="F552" s="5" t="str">
        <f>_xlfn.XLOOKUP(D552,[1]!Tabela24[Código consultor],[1]!Tabela24[Canal Consultor],0,0,1)</f>
        <v>INTERNO</v>
      </c>
      <c r="G552" s="5" t="str">
        <f>_xlfn.XLOOKUP(B552,[1]!Tabela1[[Cidades ]],[1]!Tabela1[Regional],0,0,1)</f>
        <v>Maycon</v>
      </c>
      <c r="H552" s="8" t="str">
        <f>_xlfn.XLOOKUP(B552,[1]!Tabela1[[Cidades ]],[1]!Tabela1[Gerente],0,0,1)</f>
        <v>Demais coordenadores</v>
      </c>
    </row>
    <row r="553" spans="1:8" x14ac:dyDescent="0.3">
      <c r="A553" s="9" t="s">
        <v>213</v>
      </c>
      <c r="B553" s="10" t="s">
        <v>11</v>
      </c>
      <c r="C553" s="11">
        <v>45835</v>
      </c>
      <c r="D553" s="12">
        <v>781649</v>
      </c>
      <c r="E553" s="5" t="str">
        <f>_xlfn.XLOOKUP(D553,[1]!Tabela24[Código consultor],[1]!Tabela24[Consultor Venda],0,0,1)</f>
        <v>COM - GTI - EMILLY CARDOSO BALTHAZAR</v>
      </c>
      <c r="F553" s="5" t="str">
        <f>_xlfn.XLOOKUP(D553,[1]!Tabela24[Código consultor],[1]!Tabela24[Canal Consultor],0,0,1)</f>
        <v>Pap</v>
      </c>
      <c r="G553" s="10" t="str">
        <f>_xlfn.XLOOKUP(B553,[1]!Tabela1[[Cidades ]],[1]!Tabela1[Regional],0,0,1)</f>
        <v>Magno</v>
      </c>
      <c r="H553" s="13" t="str">
        <f>_xlfn.XLOOKUP(B553,[1]!Tabela1[[Cidades ]],[1]!Tabela1[Gerente],0,0,1)</f>
        <v>Demais coordenadores</v>
      </c>
    </row>
    <row r="554" spans="1:8" x14ac:dyDescent="0.3">
      <c r="A554" s="4" t="s">
        <v>215</v>
      </c>
      <c r="B554" s="5" t="s">
        <v>11</v>
      </c>
      <c r="C554" s="6">
        <v>45835</v>
      </c>
      <c r="D554" s="7">
        <v>647291</v>
      </c>
      <c r="E554" s="5" t="str">
        <f>_xlfn.XLOOKUP(D554,[1]!Tabela24[Código consultor],[1]!Tabela24[Consultor Venda],0,0,1)</f>
        <v>COM - CCO - CLAUDIO FARESE</v>
      </c>
      <c r="F554" s="5" t="str">
        <f>_xlfn.XLOOKUP(D554,[1]!Tabela24[Código consultor],[1]!Tabela24[Canal Consultor],0,0,1)</f>
        <v>CORPORATIVO</v>
      </c>
      <c r="G554" s="5" t="str">
        <f>_xlfn.XLOOKUP(B554,[1]!Tabela1[[Cidades ]],[1]!Tabela1[Regional],0,0,1)</f>
        <v>Magno</v>
      </c>
      <c r="H554" s="8" t="str">
        <f>_xlfn.XLOOKUP(B554,[1]!Tabela1[[Cidades ]],[1]!Tabela1[Gerente],0,0,1)</f>
        <v>Demais coordenadores</v>
      </c>
    </row>
    <row r="555" spans="1:8" x14ac:dyDescent="0.3">
      <c r="A555" s="9" t="s">
        <v>215</v>
      </c>
      <c r="B555" s="10" t="s">
        <v>40</v>
      </c>
      <c r="C555" s="11">
        <v>45835</v>
      </c>
      <c r="D555" s="12">
        <v>647291</v>
      </c>
      <c r="E555" s="5" t="str">
        <f>_xlfn.XLOOKUP(D555,[1]!Tabela24[Código consultor],[1]!Tabela24[Consultor Venda],0,0,1)</f>
        <v>COM - CCO - CLAUDIO FARESE</v>
      </c>
      <c r="F555" s="5" t="str">
        <f>_xlfn.XLOOKUP(D555,[1]!Tabela24[Código consultor],[1]!Tabela24[Canal Consultor],0,0,1)</f>
        <v>CORPORATIVO</v>
      </c>
      <c r="G555" s="10" t="str">
        <f>_xlfn.XLOOKUP(B555,[1]!Tabela1[[Cidades ]],[1]!Tabela1[Regional],0,0,1)</f>
        <v>Magno</v>
      </c>
      <c r="H555" s="13" t="str">
        <f>_xlfn.XLOOKUP(B555,[1]!Tabela1[[Cidades ]],[1]!Tabela1[Gerente],0,0,1)</f>
        <v>Demais coordenadores</v>
      </c>
    </row>
    <row r="556" spans="1:8" x14ac:dyDescent="0.3">
      <c r="A556" s="4" t="s">
        <v>215</v>
      </c>
      <c r="B556" s="5" t="s">
        <v>130</v>
      </c>
      <c r="C556" s="6">
        <v>45835</v>
      </c>
      <c r="D556" s="7">
        <v>647291</v>
      </c>
      <c r="E556" s="5" t="str">
        <f>_xlfn.XLOOKUP(D556,[1]!Tabela24[Código consultor],[1]!Tabela24[Consultor Venda],0,0,1)</f>
        <v>COM - CCO - CLAUDIO FARESE</v>
      </c>
      <c r="F556" s="5" t="str">
        <f>_xlfn.XLOOKUP(D556,[1]!Tabela24[Código consultor],[1]!Tabela24[Canal Consultor],0,0,1)</f>
        <v>CORPORATIVO</v>
      </c>
      <c r="G556" s="5" t="str">
        <f>_xlfn.XLOOKUP(B556,[1]!Tabela1[[Cidades ]],[1]!Tabela1[Regional],0,0,1)</f>
        <v>Alisson</v>
      </c>
      <c r="H556" s="8" t="str">
        <f>_xlfn.XLOOKUP(B556,[1]!Tabela1[[Cidades ]],[1]!Tabela1[Gerente],0,0,1)</f>
        <v>Karine</v>
      </c>
    </row>
    <row r="557" spans="1:8" x14ac:dyDescent="0.3">
      <c r="A557" s="9" t="s">
        <v>792</v>
      </c>
      <c r="B557" s="10" t="s">
        <v>23</v>
      </c>
      <c r="C557" s="11">
        <v>45835</v>
      </c>
      <c r="D557" s="12">
        <v>652640</v>
      </c>
      <c r="E557" s="5" t="str">
        <f>_xlfn.XLOOKUP(D557,[1]!Tabela24[Código consultor],[1]!Tabela24[Consultor Venda],0,0,1)</f>
        <v>COM - CAN - ANDRIELE DA SILVA RANGEL</v>
      </c>
      <c r="F557" s="5" t="str">
        <f>_xlfn.XLOOKUP(D557,[1]!Tabela24[Código consultor],[1]!Tabela24[Canal Consultor],0,0,1)</f>
        <v>Pap</v>
      </c>
      <c r="G557" s="10" t="str">
        <f>_xlfn.XLOOKUP(B557,[1]!Tabela1[[Cidades ]],[1]!Tabela1[Regional],0,0,1)</f>
        <v>Magno</v>
      </c>
      <c r="H557" s="13" t="str">
        <f>_xlfn.XLOOKUP(B557,[1]!Tabela1[[Cidades ]],[1]!Tabela1[Gerente],0,0,1)</f>
        <v>Demais coordenadores</v>
      </c>
    </row>
    <row r="558" spans="1:8" x14ac:dyDescent="0.3">
      <c r="A558" s="4" t="s">
        <v>793</v>
      </c>
      <c r="B558" s="5" t="s">
        <v>23</v>
      </c>
      <c r="C558" s="6">
        <v>45835</v>
      </c>
      <c r="D558" s="7">
        <v>872155</v>
      </c>
      <c r="E558" s="5" t="str">
        <f>_xlfn.XLOOKUP(D558,[1]!Tabela24[Código consultor],[1]!Tabela24[Consultor Venda],0,0,1)</f>
        <v>COM - CAN - JULIANDRA DORNELES</v>
      </c>
      <c r="F558" s="5" t="str">
        <f>_xlfn.XLOOKUP(D558,[1]!Tabela24[Código consultor],[1]!Tabela24[Canal Consultor],0,0,1)</f>
        <v>Pap</v>
      </c>
      <c r="G558" s="5" t="str">
        <f>_xlfn.XLOOKUP(B558,[1]!Tabela1[[Cidades ]],[1]!Tabela1[Regional],0,0,1)</f>
        <v>Magno</v>
      </c>
      <c r="H558" s="8" t="str">
        <f>_xlfn.XLOOKUP(B558,[1]!Tabela1[[Cidades ]],[1]!Tabela1[Gerente],0,0,1)</f>
        <v>Demais coordenadores</v>
      </c>
    </row>
    <row r="559" spans="1:8" x14ac:dyDescent="0.3">
      <c r="A559" s="9" t="s">
        <v>794</v>
      </c>
      <c r="B559" s="10" t="s">
        <v>10</v>
      </c>
      <c r="C559" s="11">
        <v>45835</v>
      </c>
      <c r="D559" s="12">
        <v>197832</v>
      </c>
      <c r="E559" s="5" t="str">
        <f>_xlfn.XLOOKUP(D559,[1]!Tabela24[Código consultor],[1]!Tabela24[Consultor Venda],0,0,1)</f>
        <v>DIG - CCO - RAIANE BERGAMIN</v>
      </c>
      <c r="F559" s="5" t="str">
        <f>_xlfn.XLOOKUP(D559,[1]!Tabela24[Código consultor],[1]!Tabela24[Canal Consultor],0,0,1)</f>
        <v>DIGITAL</v>
      </c>
      <c r="G559" s="10" t="str">
        <f>_xlfn.XLOOKUP(B559,[1]!Tabela1[[Cidades ]],[1]!Tabela1[Regional],0,0,1)</f>
        <v>Jean</v>
      </c>
      <c r="H559" s="13" t="str">
        <f>_xlfn.XLOOKUP(B559,[1]!Tabela1[[Cidades ]],[1]!Tabela1[Gerente],0,0,1)</f>
        <v>Demais coordenadores</v>
      </c>
    </row>
    <row r="560" spans="1:8" x14ac:dyDescent="0.3">
      <c r="A560" s="4" t="s">
        <v>267</v>
      </c>
      <c r="B560" s="5" t="s">
        <v>23</v>
      </c>
      <c r="C560" s="6">
        <v>45835</v>
      </c>
      <c r="D560" s="7">
        <v>780838</v>
      </c>
      <c r="E560" s="5" t="str">
        <f>_xlfn.XLOOKUP(D560,[1]!Tabela24[Código consultor],[1]!Tabela24[Consultor Venda],0,0,1)</f>
        <v>PAR - PAP - CSL - ALLNET - JEAN CARLO LOPES</v>
      </c>
      <c r="F560" s="5" t="str">
        <f>_xlfn.XLOOKUP(D560,[1]!Tabela24[Código consultor],[1]!Tabela24[Canal Consultor],0,0,1)</f>
        <v>PAR</v>
      </c>
      <c r="G560" s="5" t="str">
        <f>_xlfn.XLOOKUP(B560,[1]!Tabela1[[Cidades ]],[1]!Tabela1[Regional],0,0,1)</f>
        <v>Magno</v>
      </c>
      <c r="H560" s="8" t="str">
        <f>_xlfn.XLOOKUP(B560,[1]!Tabela1[[Cidades ]],[1]!Tabela1[Gerente],0,0,1)</f>
        <v>Demais coordenadores</v>
      </c>
    </row>
    <row r="561" spans="1:8" x14ac:dyDescent="0.3">
      <c r="A561" s="9" t="s">
        <v>271</v>
      </c>
      <c r="B561" s="10" t="s">
        <v>23</v>
      </c>
      <c r="C561" s="11">
        <v>45835</v>
      </c>
      <c r="D561" s="12">
        <v>767508</v>
      </c>
      <c r="E561" s="5" t="str">
        <f>_xlfn.XLOOKUP(D561,[1]!Tabela24[Código consultor],[1]!Tabela24[Consultor Venda],0,0,1)</f>
        <v>COM - CAN - JULIANA DA SILVA ASSUNCAO</v>
      </c>
      <c r="F561" s="5" t="str">
        <f>_xlfn.XLOOKUP(D561,[1]!Tabela24[Código consultor],[1]!Tabela24[Canal Consultor],0,0,1)</f>
        <v>Pap</v>
      </c>
      <c r="G561" s="10" t="str">
        <f>_xlfn.XLOOKUP(B561,[1]!Tabela1[[Cidades ]],[1]!Tabela1[Regional],0,0,1)</f>
        <v>Magno</v>
      </c>
      <c r="H561" s="13" t="str">
        <f>_xlfn.XLOOKUP(B561,[1]!Tabela1[[Cidades ]],[1]!Tabela1[Gerente],0,0,1)</f>
        <v>Demais coordenadores</v>
      </c>
    </row>
    <row r="562" spans="1:8" x14ac:dyDescent="0.3">
      <c r="A562" s="4" t="s">
        <v>797</v>
      </c>
      <c r="B562" s="5" t="s">
        <v>47</v>
      </c>
      <c r="C562" s="6">
        <v>45835</v>
      </c>
      <c r="D562" s="7">
        <v>600710</v>
      </c>
      <c r="E562" s="5" t="str">
        <f>_xlfn.XLOOKUP(D562,[1]!Tabela24[Código consultor],[1]!Tabela24[Consultor Venda],0,0,1)</f>
        <v>DIG - CCO - BRUNA BALBINOTTI</v>
      </c>
      <c r="F562" s="5" t="str">
        <f>_xlfn.XLOOKUP(D562,[1]!Tabela24[Código consultor],[1]!Tabela24[Canal Consultor],0,0,1)</f>
        <v>DIGITAL</v>
      </c>
      <c r="G562" s="5" t="str">
        <f>_xlfn.XLOOKUP(B562,[1]!Tabela1[[Cidades ]],[1]!Tabela1[Regional],0,0,1)</f>
        <v>Magno</v>
      </c>
      <c r="H562" s="8" t="str">
        <f>_xlfn.XLOOKUP(B562,[1]!Tabela1[[Cidades ]],[1]!Tabela1[Gerente],0,0,1)</f>
        <v>Demais coordenadores</v>
      </c>
    </row>
    <row r="563" spans="1:8" x14ac:dyDescent="0.3">
      <c r="A563" s="9" t="s">
        <v>276</v>
      </c>
      <c r="B563" s="10" t="s">
        <v>16</v>
      </c>
      <c r="C563" s="11">
        <v>45835</v>
      </c>
      <c r="D563" s="12">
        <v>867361</v>
      </c>
      <c r="E563" s="5" t="str">
        <f>_xlfn.XLOOKUP(D563,[1]!Tabela24[Código consultor],[1]!Tabela24[Consultor Venda],0,0,1)</f>
        <v>COM - CSL - HENRIQUE POLONIATO MULLER</v>
      </c>
      <c r="F563" s="5" t="str">
        <f>_xlfn.XLOOKUP(D563,[1]!Tabela24[Código consultor],[1]!Tabela24[Canal Consultor],0,0,1)</f>
        <v>Pap</v>
      </c>
      <c r="G563" s="10" t="str">
        <f>_xlfn.XLOOKUP(B563,[1]!Tabela1[[Cidades ]],[1]!Tabela1[Regional],0,0,1)</f>
        <v>Magno</v>
      </c>
      <c r="H563" s="13" t="str">
        <f>_xlfn.XLOOKUP(B563,[1]!Tabela1[[Cidades ]],[1]!Tabela1[Gerente],0,0,1)</f>
        <v>Demais coordenadores</v>
      </c>
    </row>
    <row r="564" spans="1:8" x14ac:dyDescent="0.3">
      <c r="A564" s="4" t="s">
        <v>570</v>
      </c>
      <c r="B564" s="5" t="s">
        <v>45</v>
      </c>
      <c r="C564" s="6">
        <v>45835</v>
      </c>
      <c r="D564" s="7">
        <v>881485</v>
      </c>
      <c r="E564" s="5" t="str">
        <f>_xlfn.XLOOKUP(D564,[1]!Tabela24[Código consultor],[1]!Tabela24[Consultor Venda],0,0,1)</f>
        <v>COM - SOC - ERICSSON CUNHA DE PAULA ANHAIA</v>
      </c>
      <c r="F564" s="5" t="str">
        <f>_xlfn.XLOOKUP(D564,[1]!Tabela24[Código consultor],[1]!Tabela24[Canal Consultor],0,0,1)</f>
        <v>Pap</v>
      </c>
      <c r="G564" s="5" t="str">
        <f>_xlfn.XLOOKUP(B564,[1]!Tabela1[[Cidades ]],[1]!Tabela1[Regional],0,0,1)</f>
        <v>Jean</v>
      </c>
      <c r="H564" s="8" t="str">
        <f>_xlfn.XLOOKUP(B564,[1]!Tabela1[[Cidades ]],[1]!Tabela1[Gerente],0,0,1)</f>
        <v>Demais coordenadores</v>
      </c>
    </row>
    <row r="565" spans="1:8" x14ac:dyDescent="0.3">
      <c r="A565" s="9" t="s">
        <v>812</v>
      </c>
      <c r="B565" s="10" t="s">
        <v>31</v>
      </c>
      <c r="C565" s="11">
        <v>45835</v>
      </c>
      <c r="D565" s="12">
        <v>788656</v>
      </c>
      <c r="E565" s="5" t="str">
        <f>_xlfn.XLOOKUP(D565,[1]!Tabela24[Código consultor],[1]!Tabela24[Consultor Venda],0,0,1)</f>
        <v>PAR - STB - PAP - JOY TELECOM - GABRIELA ALVES DE GODOY</v>
      </c>
      <c r="F565" s="5" t="str">
        <f>_xlfn.XLOOKUP(D565,[1]!Tabela24[Código consultor],[1]!Tabela24[Canal Consultor],0,0,1)</f>
        <v>PAR_DIG</v>
      </c>
      <c r="G565" s="10" t="str">
        <f>_xlfn.XLOOKUP(B565,[1]!Tabela1[[Cidades ]],[1]!Tabela1[Regional],0,0,1)</f>
        <v>Maycon</v>
      </c>
      <c r="H565" s="13" t="str">
        <f>_xlfn.XLOOKUP(B565,[1]!Tabela1[[Cidades ]],[1]!Tabela1[Gerente],0,0,1)</f>
        <v>Demais coordenadores</v>
      </c>
    </row>
    <row r="566" spans="1:8" x14ac:dyDescent="0.3">
      <c r="A566" s="4" t="s">
        <v>824</v>
      </c>
      <c r="B566" s="5" t="s">
        <v>28</v>
      </c>
      <c r="C566" s="6">
        <v>45835</v>
      </c>
      <c r="D566" s="7">
        <v>547683</v>
      </c>
      <c r="E566" s="5" t="str">
        <f>_xlfn.XLOOKUP(D566,[1]!Tabela24[Código consultor],[1]!Tabela24[Consultor Venda],0,0,1)</f>
        <v>COM - LJO - JOAO PAULO DA SILVA SANTOS</v>
      </c>
      <c r="F566" s="5" t="str">
        <f>_xlfn.XLOOKUP(D566,[1]!Tabela24[Código consultor],[1]!Tabela24[Canal Consultor],0,0,1)</f>
        <v>Pap</v>
      </c>
      <c r="G566" s="5" t="str">
        <f>_xlfn.XLOOKUP(B566,[1]!Tabela1[[Cidades ]],[1]!Tabela1[Regional],0,0,1)</f>
        <v>Magno</v>
      </c>
      <c r="H566" s="8" t="str">
        <f>_xlfn.XLOOKUP(B566,[1]!Tabela1[[Cidades ]],[1]!Tabela1[Gerente],0,0,1)</f>
        <v>Demais coordenadores</v>
      </c>
    </row>
    <row r="567" spans="1:8" x14ac:dyDescent="0.3">
      <c r="A567" s="9" t="s">
        <v>839</v>
      </c>
      <c r="B567" s="10" t="s">
        <v>80</v>
      </c>
      <c r="C567" s="11">
        <v>45835</v>
      </c>
      <c r="D567" s="12">
        <v>216565</v>
      </c>
      <c r="E567" s="5" t="str">
        <f>_xlfn.XLOOKUP(D567,[1]!Tabela24[Código consultor],[1]!Tabela24[Consultor Venda],0,0,1)</f>
        <v>COM - ERE - JEAN CARLOS DOMINSKI</v>
      </c>
      <c r="F567" s="5" t="str">
        <f>_xlfn.XLOOKUP(D567,[1]!Tabela24[Código consultor],[1]!Tabela24[Canal Consultor],0,0,1)</f>
        <v>Pap</v>
      </c>
      <c r="G567" s="10" t="str">
        <f>_xlfn.XLOOKUP(B567,[1]!Tabela1[[Cidades ]],[1]!Tabela1[Regional],0,0,1)</f>
        <v>Alisson</v>
      </c>
      <c r="H567" s="13" t="str">
        <f>_xlfn.XLOOKUP(B567,[1]!Tabela1[[Cidades ]],[1]!Tabela1[Gerente],0,0,1)</f>
        <v>Karine</v>
      </c>
    </row>
    <row r="568" spans="1:8" x14ac:dyDescent="0.3">
      <c r="A568" s="4" t="s">
        <v>846</v>
      </c>
      <c r="B568" s="5" t="s">
        <v>34</v>
      </c>
      <c r="C568" s="6">
        <v>45835</v>
      </c>
      <c r="D568" s="7">
        <v>213687</v>
      </c>
      <c r="E568" s="5" t="str">
        <f>_xlfn.XLOOKUP(D568,[1]!Tabela24[Código consultor],[1]!Tabela24[Consultor Venda],0,0,1)</f>
        <v>COM - ERE - GABRIELE FERREIRA FORTUNATO</v>
      </c>
      <c r="F568" s="5" t="str">
        <f>_xlfn.XLOOKUP(D568,[1]!Tabela24[Código consultor],[1]!Tabela24[Canal Consultor],0,0,1)</f>
        <v>INTERNO</v>
      </c>
      <c r="G568" s="5" t="str">
        <f>_xlfn.XLOOKUP(B568,[1]!Tabela1[[Cidades ]],[1]!Tabela1[Regional],0,0,1)</f>
        <v>Alisson</v>
      </c>
      <c r="H568" s="8" t="str">
        <f>_xlfn.XLOOKUP(B568,[1]!Tabela1[[Cidades ]],[1]!Tabela1[Gerente],0,0,1)</f>
        <v>Karine</v>
      </c>
    </row>
    <row r="569" spans="1:8" x14ac:dyDescent="0.3">
      <c r="A569" s="9" t="s">
        <v>850</v>
      </c>
      <c r="B569" s="10" t="s">
        <v>11</v>
      </c>
      <c r="C569" s="11">
        <v>45835</v>
      </c>
      <c r="D569" s="12">
        <v>235841</v>
      </c>
      <c r="E569" s="5" t="str">
        <f>_xlfn.XLOOKUP(D569,[1]!Tabela24[Código consultor],[1]!Tabela24[Consultor Venda],0,0,1)</f>
        <v>DIG - CCO - KAUANA BONI</v>
      </c>
      <c r="F569" s="5" t="str">
        <f>_xlfn.XLOOKUP(D569,[1]!Tabela24[Código consultor],[1]!Tabela24[Canal Consultor],0,0,1)</f>
        <v>DIGITAL</v>
      </c>
      <c r="G569" s="10" t="str">
        <f>_xlfn.XLOOKUP(B569,[1]!Tabela1[[Cidades ]],[1]!Tabela1[Regional],0,0,1)</f>
        <v>Magno</v>
      </c>
      <c r="H569" s="13" t="str">
        <f>_xlfn.XLOOKUP(B569,[1]!Tabela1[[Cidades ]],[1]!Tabela1[Gerente],0,0,1)</f>
        <v>Demais coordenadores</v>
      </c>
    </row>
    <row r="570" spans="1:8" x14ac:dyDescent="0.3">
      <c r="A570" s="4" t="s">
        <v>851</v>
      </c>
      <c r="B570" s="5" t="s">
        <v>53</v>
      </c>
      <c r="C570" s="6">
        <v>45835</v>
      </c>
      <c r="D570" s="7">
        <v>769849</v>
      </c>
      <c r="E570" s="5" t="str">
        <f>_xlfn.XLOOKUP(D570,[1]!Tabela24[Código consultor],[1]!Tabela24[Consultor Venda],0,0,1)</f>
        <v>COM - DOS - DANIELA TERUMI ROMERO OGIMA</v>
      </c>
      <c r="F570" s="5" t="str">
        <f>_xlfn.XLOOKUP(D570,[1]!Tabela24[Código consultor],[1]!Tabela24[Canal Consultor],0,0,1)</f>
        <v>Pap</v>
      </c>
      <c r="G570" s="5" t="str">
        <f>_xlfn.XLOOKUP(B570,[1]!Tabela1[[Cidades ]],[1]!Tabela1[Regional],0,0,1)</f>
        <v>Adilson</v>
      </c>
      <c r="H570" s="8" t="str">
        <f>_xlfn.XLOOKUP(B570,[1]!Tabela1[[Cidades ]],[1]!Tabela1[Gerente],0,0,1)</f>
        <v>Demais coordenadores</v>
      </c>
    </row>
    <row r="571" spans="1:8" x14ac:dyDescent="0.3">
      <c r="A571" s="9" t="s">
        <v>855</v>
      </c>
      <c r="B571" s="10" t="s">
        <v>10</v>
      </c>
      <c r="C571" s="11">
        <v>45835</v>
      </c>
      <c r="D571" s="12">
        <v>525458</v>
      </c>
      <c r="E571" s="5" t="str">
        <f>_xlfn.XLOOKUP(D571,[1]!Tabela24[Código consultor],[1]!Tabela24[Consultor Venda],0,0,1)</f>
        <v>PAR - ADM - GRP - FIGUEREDO MOBILE  - JOSELIO O. P. JUNIOR</v>
      </c>
      <c r="F571" s="5" t="str">
        <f>_xlfn.XLOOKUP(D571,[1]!Tabela24[Código consultor],[1]!Tabela24[Canal Consultor],0,0,1)</f>
        <v>PAR</v>
      </c>
      <c r="G571" s="10" t="str">
        <f>_xlfn.XLOOKUP(B571,[1]!Tabela1[[Cidades ]],[1]!Tabela1[Regional],0,0,1)</f>
        <v>Jean</v>
      </c>
      <c r="H571" s="13" t="str">
        <f>_xlfn.XLOOKUP(B571,[1]!Tabela1[[Cidades ]],[1]!Tabela1[Gerente],0,0,1)</f>
        <v>Demais coordenadores</v>
      </c>
    </row>
    <row r="572" spans="1:8" x14ac:dyDescent="0.3">
      <c r="A572" s="4" t="s">
        <v>861</v>
      </c>
      <c r="B572" s="5" t="s">
        <v>19</v>
      </c>
      <c r="C572" s="6">
        <v>45835</v>
      </c>
      <c r="D572" s="7">
        <v>878848</v>
      </c>
      <c r="E572" s="5" t="str">
        <f>_xlfn.XLOOKUP(D572,[1]!Tabela24[Código consultor],[1]!Tabela24[Consultor Venda],0,0,1)</f>
        <v>COM - CHN - MATHEUS ALFREDO MACEDO</v>
      </c>
      <c r="F572" s="5" t="str">
        <f>_xlfn.XLOOKUP(D572,[1]!Tabela24[Código consultor],[1]!Tabela24[Canal Consultor],0,0,1)</f>
        <v>Pap</v>
      </c>
      <c r="G572" s="5" t="str">
        <f>_xlfn.XLOOKUP(B572,[1]!Tabela1[[Cidades ]],[1]!Tabela1[Regional],0,0,1)</f>
        <v>Magno</v>
      </c>
      <c r="H572" s="8" t="str">
        <f>_xlfn.XLOOKUP(B572,[1]!Tabela1[[Cidades ]],[1]!Tabela1[Gerente],0,0,1)</f>
        <v>Demais coordenadores</v>
      </c>
    </row>
    <row r="573" spans="1:8" x14ac:dyDescent="0.3">
      <c r="A573" s="9" t="s">
        <v>865</v>
      </c>
      <c r="B573" s="10" t="s">
        <v>19</v>
      </c>
      <c r="C573" s="11">
        <v>45835</v>
      </c>
      <c r="D573" s="12">
        <v>725067</v>
      </c>
      <c r="E573" s="5" t="str">
        <f>_xlfn.XLOOKUP(D573,[1]!Tabela24[Código consultor],[1]!Tabela24[Consultor Venda],0,0,1)</f>
        <v>COM - CHN - MICHELY SANTOS DOS SANTOS</v>
      </c>
      <c r="F573" s="5" t="str">
        <f>_xlfn.XLOOKUP(D573,[1]!Tabela24[Código consultor],[1]!Tabela24[Canal Consultor],0,0,1)</f>
        <v>Pap</v>
      </c>
      <c r="G573" s="10" t="str">
        <f>_xlfn.XLOOKUP(B573,[1]!Tabela1[[Cidades ]],[1]!Tabela1[Regional],0,0,1)</f>
        <v>Magno</v>
      </c>
      <c r="H573" s="13" t="str">
        <f>_xlfn.XLOOKUP(B573,[1]!Tabela1[[Cidades ]],[1]!Tabela1[Gerente],0,0,1)</f>
        <v>Demais coordenadores</v>
      </c>
    </row>
    <row r="574" spans="1:8" x14ac:dyDescent="0.3">
      <c r="A574" s="4" t="s">
        <v>1584</v>
      </c>
      <c r="B574" s="5" t="s">
        <v>47</v>
      </c>
      <c r="C574" s="6">
        <v>45835</v>
      </c>
      <c r="D574" s="7">
        <v>872253</v>
      </c>
      <c r="E574" s="5" t="str">
        <f>_xlfn.XLOOKUP(D574,[1]!Tabela24[Código consultor],[1]!Tabela24[Consultor Venda],0,0,1)</f>
        <v>COM - VAI - JULIA GABRIELA DE QUADRA BARBOSA</v>
      </c>
      <c r="F574" s="5" t="str">
        <f>_xlfn.XLOOKUP(D574,[1]!Tabela24[Código consultor],[1]!Tabela24[Canal Consultor],0,0,1)</f>
        <v>INTERNO</v>
      </c>
      <c r="G574" s="5" t="str">
        <f>_xlfn.XLOOKUP(B574,[1]!Tabela1[[Cidades ]],[1]!Tabela1[Regional],0,0,1)</f>
        <v>Magno</v>
      </c>
      <c r="H574" s="8" t="str">
        <f>_xlfn.XLOOKUP(B574,[1]!Tabela1[[Cidades ]],[1]!Tabela1[Gerente],0,0,1)</f>
        <v>Demais coordenadores</v>
      </c>
    </row>
    <row r="575" spans="1:8" x14ac:dyDescent="0.3">
      <c r="A575" s="9" t="s">
        <v>872</v>
      </c>
      <c r="B575" s="10" t="s">
        <v>19</v>
      </c>
      <c r="C575" s="11">
        <v>45835</v>
      </c>
      <c r="D575" s="12">
        <v>787456</v>
      </c>
      <c r="E575" s="5" t="str">
        <f>_xlfn.XLOOKUP(D575,[1]!Tabela24[Código consultor],[1]!Tabela24[Consultor Venda],0,0,1)</f>
        <v>COM - CHN - Eduarda Schmoller da Silva</v>
      </c>
      <c r="F575" s="5" t="str">
        <f>_xlfn.XLOOKUP(D575,[1]!Tabela24[Código consultor],[1]!Tabela24[Canal Consultor],0,0,1)</f>
        <v>INTERNO</v>
      </c>
      <c r="G575" s="10" t="str">
        <f>_xlfn.XLOOKUP(B575,[1]!Tabela1[[Cidades ]],[1]!Tabela1[Regional],0,0,1)</f>
        <v>Magno</v>
      </c>
      <c r="H575" s="13" t="str">
        <f>_xlfn.XLOOKUP(B575,[1]!Tabela1[[Cidades ]],[1]!Tabela1[Gerente],0,0,1)</f>
        <v>Demais coordenadores</v>
      </c>
    </row>
    <row r="576" spans="1:8" x14ac:dyDescent="0.3">
      <c r="A576" s="4" t="s">
        <v>873</v>
      </c>
      <c r="B576" s="5" t="s">
        <v>26</v>
      </c>
      <c r="C576" s="6">
        <v>45835</v>
      </c>
      <c r="D576" s="7">
        <v>781649</v>
      </c>
      <c r="E576" s="5" t="str">
        <f>_xlfn.XLOOKUP(D576,[1]!Tabela24[Código consultor],[1]!Tabela24[Consultor Venda],0,0,1)</f>
        <v>COM - GTI - EMILLY CARDOSO BALTHAZAR</v>
      </c>
      <c r="F576" s="5" t="str">
        <f>_xlfn.XLOOKUP(D576,[1]!Tabela24[Código consultor],[1]!Tabela24[Canal Consultor],0,0,1)</f>
        <v>Pap</v>
      </c>
      <c r="G576" s="5" t="str">
        <f>_xlfn.XLOOKUP(B576,[1]!Tabela1[[Cidades ]],[1]!Tabela1[Regional],0,0,1)</f>
        <v>Magno</v>
      </c>
      <c r="H576" s="8" t="str">
        <f>_xlfn.XLOOKUP(B576,[1]!Tabela1[[Cidades ]],[1]!Tabela1[Gerente],0,0,1)</f>
        <v>Demais coordenadores</v>
      </c>
    </row>
    <row r="577" spans="1:8" x14ac:dyDescent="0.3">
      <c r="A577" s="9" t="s">
        <v>879</v>
      </c>
      <c r="B577" s="10" t="s">
        <v>47</v>
      </c>
      <c r="C577" s="11">
        <v>45835</v>
      </c>
      <c r="D577" s="12">
        <v>617463</v>
      </c>
      <c r="E577" s="5" t="str">
        <f>_xlfn.XLOOKUP(D577,[1]!Tabela24[Código consultor],[1]!Tabela24[Consultor Venda],0,0,1)</f>
        <v>DIG - CCO - ALEX AUGUSTO DA CRUZ RODRIGUES</v>
      </c>
      <c r="F577" s="5" t="str">
        <f>_xlfn.XLOOKUP(D577,[1]!Tabela24[Código consultor],[1]!Tabela24[Canal Consultor],0,0,1)</f>
        <v>DIGITAL</v>
      </c>
      <c r="G577" s="10" t="str">
        <f>_xlfn.XLOOKUP(B577,[1]!Tabela1[[Cidades ]],[1]!Tabela1[Regional],0,0,1)</f>
        <v>Magno</v>
      </c>
      <c r="H577" s="13" t="str">
        <f>_xlfn.XLOOKUP(B577,[1]!Tabela1[[Cidades ]],[1]!Tabela1[Gerente],0,0,1)</f>
        <v>Demais coordenadores</v>
      </c>
    </row>
    <row r="578" spans="1:8" x14ac:dyDescent="0.3">
      <c r="A578" s="4" t="s">
        <v>882</v>
      </c>
      <c r="B578" s="5" t="s">
        <v>22</v>
      </c>
      <c r="C578" s="6">
        <v>45835</v>
      </c>
      <c r="D578" s="7">
        <v>788656</v>
      </c>
      <c r="E578" s="5" t="str">
        <f>_xlfn.XLOOKUP(D578,[1]!Tabela24[Código consultor],[1]!Tabela24[Consultor Venda],0,0,1)</f>
        <v>PAR - STB - PAP - JOY TELECOM - GABRIELA ALVES DE GODOY</v>
      </c>
      <c r="F578" s="5" t="str">
        <f>_xlfn.XLOOKUP(D578,[1]!Tabela24[Código consultor],[1]!Tabela24[Canal Consultor],0,0,1)</f>
        <v>PAR_DIG</v>
      </c>
      <c r="G578" s="5" t="str">
        <f>_xlfn.XLOOKUP(B578,[1]!Tabela1[[Cidades ]],[1]!Tabela1[Regional],0,0,1)</f>
        <v>Magno</v>
      </c>
      <c r="H578" s="8" t="str">
        <f>_xlfn.XLOOKUP(B578,[1]!Tabela1[[Cidades ]],[1]!Tabela1[Gerente],0,0,1)</f>
        <v>Demais coordenadores</v>
      </c>
    </row>
    <row r="579" spans="1:8" x14ac:dyDescent="0.3">
      <c r="A579" s="9" t="s">
        <v>886</v>
      </c>
      <c r="B579" s="10" t="s">
        <v>19</v>
      </c>
      <c r="C579" s="11">
        <v>45835</v>
      </c>
      <c r="D579" s="12">
        <v>725067</v>
      </c>
      <c r="E579" s="5" t="str">
        <f>_xlfn.XLOOKUP(D579,[1]!Tabela24[Código consultor],[1]!Tabela24[Consultor Venda],0,0,1)</f>
        <v>COM - CHN - MICHELY SANTOS DOS SANTOS</v>
      </c>
      <c r="F579" s="5" t="str">
        <f>_xlfn.XLOOKUP(D579,[1]!Tabela24[Código consultor],[1]!Tabela24[Canal Consultor],0,0,1)</f>
        <v>Pap</v>
      </c>
      <c r="G579" s="10" t="str">
        <f>_xlfn.XLOOKUP(B579,[1]!Tabela1[[Cidades ]],[1]!Tabela1[Regional],0,0,1)</f>
        <v>Magno</v>
      </c>
      <c r="H579" s="13" t="str">
        <f>_xlfn.XLOOKUP(B579,[1]!Tabela1[[Cidades ]],[1]!Tabela1[Gerente],0,0,1)</f>
        <v>Demais coordenadores</v>
      </c>
    </row>
    <row r="580" spans="1:8" x14ac:dyDescent="0.3">
      <c r="A580" s="4" t="s">
        <v>887</v>
      </c>
      <c r="B580" s="5" t="s">
        <v>23</v>
      </c>
      <c r="C580" s="6">
        <v>45835</v>
      </c>
      <c r="D580" s="7">
        <v>767508</v>
      </c>
      <c r="E580" s="5" t="str">
        <f>_xlfn.XLOOKUP(D580,[1]!Tabela24[Código consultor],[1]!Tabela24[Consultor Venda],0,0,1)</f>
        <v>COM - CAN - JULIANA DA SILVA ASSUNCAO</v>
      </c>
      <c r="F580" s="5" t="str">
        <f>_xlfn.XLOOKUP(D580,[1]!Tabela24[Código consultor],[1]!Tabela24[Canal Consultor],0,0,1)</f>
        <v>Pap</v>
      </c>
      <c r="G580" s="5" t="str">
        <f>_xlfn.XLOOKUP(B580,[1]!Tabela1[[Cidades ]],[1]!Tabela1[Regional],0,0,1)</f>
        <v>Magno</v>
      </c>
      <c r="H580" s="8" t="str">
        <f>_xlfn.XLOOKUP(B580,[1]!Tabela1[[Cidades ]],[1]!Tabela1[Gerente],0,0,1)</f>
        <v>Demais coordenadores</v>
      </c>
    </row>
    <row r="581" spans="1:8" x14ac:dyDescent="0.3">
      <c r="A581" s="9" t="s">
        <v>890</v>
      </c>
      <c r="B581" s="10" t="s">
        <v>26</v>
      </c>
      <c r="C581" s="11">
        <v>45835</v>
      </c>
      <c r="D581" s="12">
        <v>691859</v>
      </c>
      <c r="E581" s="5" t="str">
        <f>_xlfn.XLOOKUP(D581,[1]!Tabela24[Código consultor],[1]!Tabela24[Consultor Venda],0,0,1)</f>
        <v>COM - GTI - SERGIO GABRIEL GOMES NERVIS</v>
      </c>
      <c r="F581" s="5" t="str">
        <f>_xlfn.XLOOKUP(D581,[1]!Tabela24[Código consultor],[1]!Tabela24[Canal Consultor],0,0,1)</f>
        <v>Pap</v>
      </c>
      <c r="G581" s="10" t="str">
        <f>_xlfn.XLOOKUP(B581,[1]!Tabela1[[Cidades ]],[1]!Tabela1[Regional],0,0,1)</f>
        <v>Magno</v>
      </c>
      <c r="H581" s="13" t="str">
        <f>_xlfn.XLOOKUP(B581,[1]!Tabela1[[Cidades ]],[1]!Tabela1[Gerente],0,0,1)</f>
        <v>Demais coordenadores</v>
      </c>
    </row>
    <row r="582" spans="1:8" x14ac:dyDescent="0.3">
      <c r="A582" s="4" t="s">
        <v>898</v>
      </c>
      <c r="B582" s="5" t="s">
        <v>26</v>
      </c>
      <c r="C582" s="6">
        <v>45835</v>
      </c>
      <c r="D582" s="7">
        <v>691859</v>
      </c>
      <c r="E582" s="5" t="str">
        <f>_xlfn.XLOOKUP(D582,[1]!Tabela24[Código consultor],[1]!Tabela24[Consultor Venda],0,0,1)</f>
        <v>COM - GTI - SERGIO GABRIEL GOMES NERVIS</v>
      </c>
      <c r="F582" s="5" t="str">
        <f>_xlfn.XLOOKUP(D582,[1]!Tabela24[Código consultor],[1]!Tabela24[Canal Consultor],0,0,1)</f>
        <v>Pap</v>
      </c>
      <c r="G582" s="5" t="str">
        <f>_xlfn.XLOOKUP(B582,[1]!Tabela1[[Cidades ]],[1]!Tabela1[Regional],0,0,1)</f>
        <v>Magno</v>
      </c>
      <c r="H582" s="8" t="str">
        <f>_xlfn.XLOOKUP(B582,[1]!Tabela1[[Cidades ]],[1]!Tabela1[Gerente],0,0,1)</f>
        <v>Demais coordenadores</v>
      </c>
    </row>
    <row r="583" spans="1:8" x14ac:dyDescent="0.3">
      <c r="A583" s="9" t="s">
        <v>902</v>
      </c>
      <c r="B583" s="10" t="s">
        <v>10</v>
      </c>
      <c r="C583" s="11">
        <v>45835</v>
      </c>
      <c r="D583" s="12">
        <v>233138</v>
      </c>
      <c r="E583" s="5" t="str">
        <f>_xlfn.XLOOKUP(D583,[1]!Tabela24[Código consultor],[1]!Tabela24[Consultor Venda],0,0,1)</f>
        <v>PAR - INTE - GRP - MOBILE HD - ALINE KARNOSKI</v>
      </c>
      <c r="F583" s="5" t="str">
        <f>_xlfn.XLOOKUP(D583,[1]!Tabela24[Código consultor],[1]!Tabela24[Canal Consultor],0,0,1)</f>
        <v>PAR</v>
      </c>
      <c r="G583" s="10" t="str">
        <f>_xlfn.XLOOKUP(B583,[1]!Tabela1[[Cidades ]],[1]!Tabela1[Regional],0,0,1)</f>
        <v>Jean</v>
      </c>
      <c r="H583" s="13" t="str">
        <f>_xlfn.XLOOKUP(B583,[1]!Tabela1[[Cidades ]],[1]!Tabela1[Gerente],0,0,1)</f>
        <v>Demais coordenadores</v>
      </c>
    </row>
    <row r="584" spans="1:8" x14ac:dyDescent="0.3">
      <c r="A584" s="4" t="s">
        <v>904</v>
      </c>
      <c r="B584" s="5" t="s">
        <v>15</v>
      </c>
      <c r="C584" s="6">
        <v>45835</v>
      </c>
      <c r="D584" s="7">
        <v>882361</v>
      </c>
      <c r="E584" s="5" t="str">
        <f>_xlfn.XLOOKUP(D584,[1]!Tabela24[Código consultor],[1]!Tabela24[Consultor Venda],0,0,1)</f>
        <v>COM - IAI - BLEIDE GANUNM DA SILVA</v>
      </c>
      <c r="F584" s="5" t="str">
        <f>_xlfn.XLOOKUP(D584,[1]!Tabela24[Código consultor],[1]!Tabela24[Canal Consultor],0,0,1)</f>
        <v>Pap</v>
      </c>
      <c r="G584" s="5" t="str">
        <f>_xlfn.XLOOKUP(B584,[1]!Tabela1[[Cidades ]],[1]!Tabela1[Regional],0,0,1)</f>
        <v>Marcio</v>
      </c>
      <c r="H584" s="8" t="str">
        <f>_xlfn.XLOOKUP(B584,[1]!Tabela1[[Cidades ]],[1]!Tabela1[Gerente],0,0,1)</f>
        <v>Demais coordenadores</v>
      </c>
    </row>
    <row r="585" spans="1:8" x14ac:dyDescent="0.3">
      <c r="A585" s="9" t="s">
        <v>908</v>
      </c>
      <c r="B585" s="10" t="s">
        <v>125</v>
      </c>
      <c r="C585" s="11">
        <v>45835</v>
      </c>
      <c r="D585" s="12">
        <v>177442</v>
      </c>
      <c r="E585" s="5" t="str">
        <f>_xlfn.XLOOKUP(D585,[1]!Tabela24[Código consultor],[1]!Tabela24[Consultor Venda],0,0,1)</f>
        <v>COM - XXE - MARCOS MEZZOMO</v>
      </c>
      <c r="F585" s="5" t="str">
        <f>_xlfn.XLOOKUP(D585,[1]!Tabela24[Código consultor],[1]!Tabela24[Canal Consultor],0,0,1)</f>
        <v>Pap</v>
      </c>
      <c r="G585" s="10" t="str">
        <f>_xlfn.XLOOKUP(B585,[1]!Tabela1[[Cidades ]],[1]!Tabela1[Regional],0,0,1)</f>
        <v>Maycon</v>
      </c>
      <c r="H585" s="13" t="str">
        <f>_xlfn.XLOOKUP(B585,[1]!Tabela1[[Cidades ]],[1]!Tabela1[Gerente],0,0,1)</f>
        <v>Demais coordenadores</v>
      </c>
    </row>
    <row r="586" spans="1:8" x14ac:dyDescent="0.3">
      <c r="A586" s="4" t="s">
        <v>910</v>
      </c>
      <c r="B586" s="5" t="s">
        <v>26</v>
      </c>
      <c r="C586" s="6">
        <v>45835</v>
      </c>
      <c r="D586" s="7">
        <v>781649</v>
      </c>
      <c r="E586" s="5" t="str">
        <f>_xlfn.XLOOKUP(D586,[1]!Tabela24[Código consultor],[1]!Tabela24[Consultor Venda],0,0,1)</f>
        <v>COM - GTI - EMILLY CARDOSO BALTHAZAR</v>
      </c>
      <c r="F586" s="5" t="str">
        <f>_xlfn.XLOOKUP(D586,[1]!Tabela24[Código consultor],[1]!Tabela24[Canal Consultor],0,0,1)</f>
        <v>Pap</v>
      </c>
      <c r="G586" s="5" t="str">
        <f>_xlfn.XLOOKUP(B586,[1]!Tabela1[[Cidades ]],[1]!Tabela1[Regional],0,0,1)</f>
        <v>Magno</v>
      </c>
      <c r="H586" s="8" t="str">
        <f>_xlfn.XLOOKUP(B586,[1]!Tabela1[[Cidades ]],[1]!Tabela1[Gerente],0,0,1)</f>
        <v>Demais coordenadores</v>
      </c>
    </row>
    <row r="587" spans="1:8" x14ac:dyDescent="0.3">
      <c r="A587" s="9" t="s">
        <v>912</v>
      </c>
      <c r="B587" s="10" t="s">
        <v>24</v>
      </c>
      <c r="C587" s="11">
        <v>45835</v>
      </c>
      <c r="D587" s="12">
        <v>828645</v>
      </c>
      <c r="E587" s="5" t="str">
        <f>_xlfn.XLOOKUP(D587,[1]!Tabela24[Código consultor],[1]!Tabela24[Consultor Venda],0,0,1)</f>
        <v>COM - SMA - DIEGO CORDEIRO DE SOUZA</v>
      </c>
      <c r="F587" s="5" t="str">
        <f>_xlfn.XLOOKUP(D587,[1]!Tabela24[Código consultor],[1]!Tabela24[Canal Consultor],0,0,1)</f>
        <v>Pap</v>
      </c>
      <c r="G587" s="10" t="str">
        <f>_xlfn.XLOOKUP(B587,[1]!Tabela1[[Cidades ]],[1]!Tabela1[Regional],0,0,1)</f>
        <v>Magno</v>
      </c>
      <c r="H587" s="13" t="str">
        <f>_xlfn.XLOOKUP(B587,[1]!Tabela1[[Cidades ]],[1]!Tabela1[Gerente],0,0,1)</f>
        <v>Demais coordenadores</v>
      </c>
    </row>
    <row r="588" spans="1:8" x14ac:dyDescent="0.3">
      <c r="A588" s="4" t="s">
        <v>913</v>
      </c>
      <c r="B588" s="5" t="s">
        <v>24</v>
      </c>
      <c r="C588" s="6">
        <v>45835</v>
      </c>
      <c r="D588" s="7">
        <v>870012</v>
      </c>
      <c r="E588" s="5" t="str">
        <f>_xlfn.XLOOKUP(D588,[1]!Tabela24[Código consultor],[1]!Tabela24[Consultor Venda],0,0,1)</f>
        <v>COM - SMA - LUIZ EDUARDO DOS SANTOS LOPES COLLARES</v>
      </c>
      <c r="F588" s="5" t="str">
        <f>_xlfn.XLOOKUP(D588,[1]!Tabela24[Código consultor],[1]!Tabela24[Canal Consultor],0,0,1)</f>
        <v>Pap</v>
      </c>
      <c r="G588" s="5" t="str">
        <f>_xlfn.XLOOKUP(B588,[1]!Tabela1[[Cidades ]],[1]!Tabela1[Regional],0,0,1)</f>
        <v>Magno</v>
      </c>
      <c r="H588" s="8" t="str">
        <f>_xlfn.XLOOKUP(B588,[1]!Tabela1[[Cidades ]],[1]!Tabela1[Gerente],0,0,1)</f>
        <v>Demais coordenadores</v>
      </c>
    </row>
    <row r="589" spans="1:8" x14ac:dyDescent="0.3">
      <c r="A589" s="9" t="s">
        <v>928</v>
      </c>
      <c r="B589" s="10" t="s">
        <v>23</v>
      </c>
      <c r="C589" s="11">
        <v>45835</v>
      </c>
      <c r="D589" s="12">
        <v>861705</v>
      </c>
      <c r="E589" s="5" t="str">
        <f>_xlfn.XLOOKUP(D589,[1]!Tabela24[Código consultor],[1]!Tabela24[Consultor Venda],0,0,1)</f>
        <v>PAR - COM - PAP - TQR - ERIKA DE OLIVEIRA GALLE</v>
      </c>
      <c r="F589" s="5" t="str">
        <f>_xlfn.XLOOKUP(D589,[1]!Tabela24[Código consultor],[1]!Tabela24[Canal Consultor],0,0,1)</f>
        <v>PAR</v>
      </c>
      <c r="G589" s="10" t="str">
        <f>_xlfn.XLOOKUP(B589,[1]!Tabela1[[Cidades ]],[1]!Tabela1[Regional],0,0,1)</f>
        <v>Magno</v>
      </c>
      <c r="H589" s="13" t="str">
        <f>_xlfn.XLOOKUP(B589,[1]!Tabela1[[Cidades ]],[1]!Tabela1[Gerente],0,0,1)</f>
        <v>Demais coordenadores</v>
      </c>
    </row>
    <row r="590" spans="1:8" x14ac:dyDescent="0.3">
      <c r="A590" s="4" t="s">
        <v>933</v>
      </c>
      <c r="B590" s="5" t="s">
        <v>64</v>
      </c>
      <c r="C590" s="6">
        <v>45835</v>
      </c>
      <c r="D590" s="7">
        <v>40828</v>
      </c>
      <c r="E590" s="5" t="str">
        <f>_xlfn.XLOOKUP(D590,[1]!Tabela24[Código consultor],[1]!Tabela24[Consultor Venda],0,0,1)</f>
        <v>COM - PGO - CRISTIANE APARECIDA CHIAMULERA</v>
      </c>
      <c r="F590" s="5" t="str">
        <f>_xlfn.XLOOKUP(D590,[1]!Tabela24[Código consultor],[1]!Tabela24[Canal Consultor],0,0,1)</f>
        <v>Pap</v>
      </c>
      <c r="G590" s="5" t="str">
        <f>_xlfn.XLOOKUP(B590,[1]!Tabela1[[Cidades ]],[1]!Tabela1[Regional],0,0,1)</f>
        <v>Jean</v>
      </c>
      <c r="H590" s="8" t="str">
        <f>_xlfn.XLOOKUP(B590,[1]!Tabela1[[Cidades ]],[1]!Tabela1[Gerente],0,0,1)</f>
        <v>Demais coordenadores</v>
      </c>
    </row>
    <row r="591" spans="1:8" x14ac:dyDescent="0.3">
      <c r="A591" s="9" t="s">
        <v>936</v>
      </c>
      <c r="B591" s="10" t="s">
        <v>23</v>
      </c>
      <c r="C591" s="11">
        <v>45835</v>
      </c>
      <c r="D591" s="12">
        <v>652640</v>
      </c>
      <c r="E591" s="5" t="str">
        <f>_xlfn.XLOOKUP(D591,[1]!Tabela24[Código consultor],[1]!Tabela24[Consultor Venda],0,0,1)</f>
        <v>COM - CAN - ANDRIELE DA SILVA RANGEL</v>
      </c>
      <c r="F591" s="5" t="str">
        <f>_xlfn.XLOOKUP(D591,[1]!Tabela24[Código consultor],[1]!Tabela24[Canal Consultor],0,0,1)</f>
        <v>Pap</v>
      </c>
      <c r="G591" s="10" t="str">
        <f>_xlfn.XLOOKUP(B591,[1]!Tabela1[[Cidades ]],[1]!Tabela1[Regional],0,0,1)</f>
        <v>Magno</v>
      </c>
      <c r="H591" s="13" t="str">
        <f>_xlfn.XLOOKUP(B591,[1]!Tabela1[[Cidades ]],[1]!Tabela1[Gerente],0,0,1)</f>
        <v>Demais coordenadores</v>
      </c>
    </row>
    <row r="592" spans="1:8" x14ac:dyDescent="0.3">
      <c r="A592" s="4" t="s">
        <v>938</v>
      </c>
      <c r="B592" s="5" t="s">
        <v>37</v>
      </c>
      <c r="C592" s="6">
        <v>45835</v>
      </c>
      <c r="D592" s="7">
        <v>886641</v>
      </c>
      <c r="E592" s="5" t="str">
        <f>_xlfn.XLOOKUP(D592,[1]!Tabela24[Código consultor],[1]!Tabela24[Consultor Venda],0,0,1)</f>
        <v>COM - SOC - RAPHAEL VITORINO RIBEIRO</v>
      </c>
      <c r="F592" s="5" t="str">
        <f>_xlfn.XLOOKUP(D592,[1]!Tabela24[Código consultor],[1]!Tabela24[Canal Consultor],0,0,1)</f>
        <v>Pap</v>
      </c>
      <c r="G592" s="5" t="str">
        <f>_xlfn.XLOOKUP(B592,[1]!Tabela1[[Cidades ]],[1]!Tabela1[Regional],0,0,1)</f>
        <v>Jean</v>
      </c>
      <c r="H592" s="8" t="str">
        <f>_xlfn.XLOOKUP(B592,[1]!Tabela1[[Cidades ]],[1]!Tabela1[Gerente],0,0,1)</f>
        <v>Demais coordenadores</v>
      </c>
    </row>
    <row r="593" spans="1:8" x14ac:dyDescent="0.3">
      <c r="A593" s="9" t="s">
        <v>754</v>
      </c>
      <c r="B593" s="10" t="s">
        <v>60</v>
      </c>
      <c r="C593" s="11">
        <v>45835</v>
      </c>
      <c r="D593" s="12">
        <v>165769</v>
      </c>
      <c r="E593" s="5" t="str">
        <f>_xlfn.XLOOKUP(D593,[1]!Tabela24[Código consultor],[1]!Tabela24[Consultor Venda],0,0,1)</f>
        <v>PAR - PAP - GTI - THALIA SP - THALIA DA SILVA PEREIRA</v>
      </c>
      <c r="F593" s="5" t="str">
        <f>_xlfn.XLOOKUP(D593,[1]!Tabela24[Código consultor],[1]!Tabela24[Canal Consultor],0,0,1)</f>
        <v>PAR</v>
      </c>
      <c r="G593" s="10" t="str">
        <f>_xlfn.XLOOKUP(B593,[1]!Tabela1[[Cidades ]],[1]!Tabela1[Regional],0,0,1)</f>
        <v>Magno</v>
      </c>
      <c r="H593" s="13" t="str">
        <f>_xlfn.XLOOKUP(B593,[1]!Tabela1[[Cidades ]],[1]!Tabela1[Gerente],0,0,1)</f>
        <v>Demais coordenadores</v>
      </c>
    </row>
    <row r="594" spans="1:8" x14ac:dyDescent="0.3">
      <c r="A594" s="4" t="s">
        <v>755</v>
      </c>
      <c r="B594" s="5" t="s">
        <v>27</v>
      </c>
      <c r="C594" s="6">
        <v>45835</v>
      </c>
      <c r="D594" s="7">
        <v>844442</v>
      </c>
      <c r="E594" s="5" t="str">
        <f>_xlfn.XLOOKUP(D594,[1]!Tabela24[Código consultor],[1]!Tabela24[Consultor Venda],0,0,1)</f>
        <v>COM - VAA - EMILLY SILVA</v>
      </c>
      <c r="F594" s="5" t="str">
        <f>_xlfn.XLOOKUP(D594,[1]!Tabela24[Código consultor],[1]!Tabela24[Canal Consultor],0,0,1)</f>
        <v>Pap</v>
      </c>
      <c r="G594" s="5" t="str">
        <f>_xlfn.XLOOKUP(B594,[1]!Tabela1[[Cidades ]],[1]!Tabela1[Regional],0,0,1)</f>
        <v>Alisson</v>
      </c>
      <c r="H594" s="8" t="str">
        <f>_xlfn.XLOOKUP(B594,[1]!Tabela1[[Cidades ]],[1]!Tabela1[Gerente],0,0,1)</f>
        <v>Tatiane</v>
      </c>
    </row>
    <row r="595" spans="1:8" x14ac:dyDescent="0.3">
      <c r="A595" s="9" t="s">
        <v>756</v>
      </c>
      <c r="B595" s="10" t="s">
        <v>113</v>
      </c>
      <c r="C595" s="11">
        <v>45835</v>
      </c>
      <c r="D595" s="12">
        <v>600710</v>
      </c>
      <c r="E595" s="5" t="str">
        <f>_xlfn.XLOOKUP(D595,[1]!Tabela24[Código consultor],[1]!Tabela24[Consultor Venda],0,0,1)</f>
        <v>DIG - CCO - BRUNA BALBINOTTI</v>
      </c>
      <c r="F595" s="5" t="str">
        <f>_xlfn.XLOOKUP(D595,[1]!Tabela24[Código consultor],[1]!Tabela24[Canal Consultor],0,0,1)</f>
        <v>DIGITAL</v>
      </c>
      <c r="G595" s="10" t="str">
        <f>_xlfn.XLOOKUP(B595,[1]!Tabela1[[Cidades ]],[1]!Tabela1[Regional],0,0,1)</f>
        <v>Maycon</v>
      </c>
      <c r="H595" s="13" t="str">
        <f>_xlfn.XLOOKUP(B595,[1]!Tabela1[[Cidades ]],[1]!Tabela1[Gerente],0,0,1)</f>
        <v>Demais coordenadores</v>
      </c>
    </row>
    <row r="596" spans="1:8" x14ac:dyDescent="0.3">
      <c r="A596" s="4" t="s">
        <v>940</v>
      </c>
      <c r="B596" s="5" t="s">
        <v>52</v>
      </c>
      <c r="C596" s="6">
        <v>45835</v>
      </c>
      <c r="D596" s="7">
        <v>255780</v>
      </c>
      <c r="E596" s="5" t="str">
        <f>_xlfn.XLOOKUP(D596,[1]!Tabela24[Código consultor],[1]!Tabela24[Consultor Venda],0,0,1)</f>
        <v>COM - PZO - MAIKELI CRISTINA MANFRIN</v>
      </c>
      <c r="F596" s="5" t="str">
        <f>_xlfn.XLOOKUP(D596,[1]!Tabela24[Código consultor],[1]!Tabela24[Canal Consultor],0,0,1)</f>
        <v>INTERNO</v>
      </c>
      <c r="G596" s="5" t="str">
        <f>_xlfn.XLOOKUP(B596,[1]!Tabela1[[Cidades ]],[1]!Tabela1[Regional],0,0,1)</f>
        <v>Maycon</v>
      </c>
      <c r="H596" s="8" t="str">
        <f>_xlfn.XLOOKUP(B596,[1]!Tabela1[[Cidades ]],[1]!Tabela1[Gerente],0,0,1)</f>
        <v>Demais coordenadores</v>
      </c>
    </row>
    <row r="597" spans="1:8" x14ac:dyDescent="0.3">
      <c r="A597" s="9" t="s">
        <v>757</v>
      </c>
      <c r="B597" s="10" t="s">
        <v>31</v>
      </c>
      <c r="C597" s="11">
        <v>45835</v>
      </c>
      <c r="D597" s="12">
        <v>683349</v>
      </c>
      <c r="E597" s="5" t="str">
        <f>_xlfn.XLOOKUP(D597,[1]!Tabela24[Código consultor],[1]!Tabela24[Consultor Venda],0,0,1)</f>
        <v>DIG - CCO - EVELLIN SALOA MAIA DA CONCEICAO</v>
      </c>
      <c r="F597" s="5" t="str">
        <f>_xlfn.XLOOKUP(D597,[1]!Tabela24[Código consultor],[1]!Tabela24[Canal Consultor],0,0,1)</f>
        <v>DIGITAL</v>
      </c>
      <c r="G597" s="10" t="str">
        <f>_xlfn.XLOOKUP(B597,[1]!Tabela1[[Cidades ]],[1]!Tabela1[Regional],0,0,1)</f>
        <v>Maycon</v>
      </c>
      <c r="H597" s="13" t="str">
        <f>_xlfn.XLOOKUP(B597,[1]!Tabela1[[Cidades ]],[1]!Tabela1[Gerente],0,0,1)</f>
        <v>Demais coordenadores</v>
      </c>
    </row>
    <row r="598" spans="1:8" x14ac:dyDescent="0.3">
      <c r="A598" s="4" t="s">
        <v>758</v>
      </c>
      <c r="B598" s="5" t="s">
        <v>13</v>
      </c>
      <c r="C598" s="6">
        <v>45835</v>
      </c>
      <c r="D598" s="7">
        <v>600710</v>
      </c>
      <c r="E598" s="5" t="str">
        <f>_xlfn.XLOOKUP(D598,[1]!Tabela24[Código consultor],[1]!Tabela24[Consultor Venda],0,0,1)</f>
        <v>DIG - CCO - BRUNA BALBINOTTI</v>
      </c>
      <c r="F598" s="5" t="str">
        <f>_xlfn.XLOOKUP(D598,[1]!Tabela24[Código consultor],[1]!Tabela24[Canal Consultor],0,0,1)</f>
        <v>DIGITAL</v>
      </c>
      <c r="G598" s="5" t="str">
        <f>_xlfn.XLOOKUP(B598,[1]!Tabela1[[Cidades ]],[1]!Tabela1[Regional],0,0,1)</f>
        <v>Alisson</v>
      </c>
      <c r="H598" s="8" t="str">
        <f>_xlfn.XLOOKUP(B598,[1]!Tabela1[[Cidades ]],[1]!Tabela1[Gerente],0,0,1)</f>
        <v>Ariana</v>
      </c>
    </row>
    <row r="599" spans="1:8" x14ac:dyDescent="0.3">
      <c r="A599" s="9" t="s">
        <v>941</v>
      </c>
      <c r="B599" s="10" t="s">
        <v>72</v>
      </c>
      <c r="C599" s="11">
        <v>45835</v>
      </c>
      <c r="D599" s="12">
        <v>872122</v>
      </c>
      <c r="E599" s="5" t="str">
        <f>_xlfn.XLOOKUP(D599,[1]!Tabela24[Código consultor],[1]!Tabela24[Consultor Venda],0,0,1)</f>
        <v>PAR - COM - JCA - TECNOSERVI - ELISA MERCADO SPIELMANN</v>
      </c>
      <c r="F599" s="5" t="str">
        <f>_xlfn.XLOOKUP(D599,[1]!Tabela24[Código consultor],[1]!Tabela24[Canal Consultor],0,0,1)</f>
        <v>PAR</v>
      </c>
      <c r="G599" s="10" t="str">
        <f>_xlfn.XLOOKUP(B599,[1]!Tabela1[[Cidades ]],[1]!Tabela1[Regional],0,0,1)</f>
        <v>Maycon</v>
      </c>
      <c r="H599" s="13" t="str">
        <f>_xlfn.XLOOKUP(B599,[1]!Tabela1[[Cidades ]],[1]!Tabela1[Gerente],0,0,1)</f>
        <v>Demais coordenadores</v>
      </c>
    </row>
    <row r="600" spans="1:8" x14ac:dyDescent="0.3">
      <c r="A600" s="4" t="s">
        <v>759</v>
      </c>
      <c r="B600" s="5" t="s">
        <v>39</v>
      </c>
      <c r="C600" s="6">
        <v>45835</v>
      </c>
      <c r="D600" s="7">
        <v>738880</v>
      </c>
      <c r="E600" s="5" t="str">
        <f>_xlfn.XLOOKUP(D600,[1]!Tabela24[Código consultor],[1]!Tabela24[Consultor Venda],0,0,1)</f>
        <v>PAR - PAP - MUNDIALE - ANA LUIZA COUTO MATIAS</v>
      </c>
      <c r="F600" s="5" t="str">
        <f>_xlfn.XLOOKUP(D600,[1]!Tabela24[Código consultor],[1]!Tabela24[Canal Consultor],0,0,1)</f>
        <v>PAR_DIG</v>
      </c>
      <c r="G600" s="5" t="str">
        <f>_xlfn.XLOOKUP(B600,[1]!Tabela1[[Cidades ]],[1]!Tabela1[Regional],0,0,1)</f>
        <v>Marcio</v>
      </c>
      <c r="H600" s="8" t="str">
        <f>_xlfn.XLOOKUP(B600,[1]!Tabela1[[Cidades ]],[1]!Tabela1[Gerente],0,0,1)</f>
        <v>Demais coordenadores</v>
      </c>
    </row>
    <row r="601" spans="1:8" x14ac:dyDescent="0.3">
      <c r="A601" s="9" t="s">
        <v>216</v>
      </c>
      <c r="B601" s="10" t="s">
        <v>39</v>
      </c>
      <c r="C601" s="11">
        <v>45835</v>
      </c>
      <c r="D601" s="12">
        <v>683349</v>
      </c>
      <c r="E601" s="5" t="str">
        <f>_xlfn.XLOOKUP(D601,[1]!Tabela24[Código consultor],[1]!Tabela24[Consultor Venda],0,0,1)</f>
        <v>DIG - CCO - EVELLIN SALOA MAIA DA CONCEICAO</v>
      </c>
      <c r="F601" s="5" t="str">
        <f>_xlfn.XLOOKUP(D601,[1]!Tabela24[Código consultor],[1]!Tabela24[Canal Consultor],0,0,1)</f>
        <v>DIGITAL</v>
      </c>
      <c r="G601" s="10" t="str">
        <f>_xlfn.XLOOKUP(B601,[1]!Tabela1[[Cidades ]],[1]!Tabela1[Regional],0,0,1)</f>
        <v>Marcio</v>
      </c>
      <c r="H601" s="13" t="str">
        <f>_xlfn.XLOOKUP(B601,[1]!Tabela1[[Cidades ]],[1]!Tabela1[Gerente],0,0,1)</f>
        <v>Demais coordenadores</v>
      </c>
    </row>
    <row r="602" spans="1:8" x14ac:dyDescent="0.3">
      <c r="A602" s="4" t="s">
        <v>760</v>
      </c>
      <c r="B602" s="5" t="s">
        <v>10</v>
      </c>
      <c r="C602" s="6">
        <v>45835</v>
      </c>
      <c r="D602" s="7">
        <v>525458</v>
      </c>
      <c r="E602" s="5" t="str">
        <f>_xlfn.XLOOKUP(D602,[1]!Tabela24[Código consultor],[1]!Tabela24[Consultor Venda],0,0,1)</f>
        <v>PAR - ADM - GRP - FIGUEREDO MOBILE  - JOSELIO O. P. JUNIOR</v>
      </c>
      <c r="F602" s="5" t="str">
        <f>_xlfn.XLOOKUP(D602,[1]!Tabela24[Código consultor],[1]!Tabela24[Canal Consultor],0,0,1)</f>
        <v>PAR</v>
      </c>
      <c r="G602" s="5" t="str">
        <f>_xlfn.XLOOKUP(B602,[1]!Tabela1[[Cidades ]],[1]!Tabela1[Regional],0,0,1)</f>
        <v>Jean</v>
      </c>
      <c r="H602" s="8" t="str">
        <f>_xlfn.XLOOKUP(B602,[1]!Tabela1[[Cidades ]],[1]!Tabela1[Gerente],0,0,1)</f>
        <v>Demais coordenadores</v>
      </c>
    </row>
    <row r="603" spans="1:8" x14ac:dyDescent="0.3">
      <c r="A603" s="9" t="s">
        <v>761</v>
      </c>
      <c r="B603" s="10" t="s">
        <v>22</v>
      </c>
      <c r="C603" s="11">
        <v>45835</v>
      </c>
      <c r="D603" s="12">
        <v>736256</v>
      </c>
      <c r="E603" s="5" t="str">
        <f>_xlfn.XLOOKUP(D603,[1]!Tabela24[Código consultor],[1]!Tabela24[Consultor Venda],0,0,1)</f>
        <v>COM - SCR - JANICE CRISTINA RODRIGUES</v>
      </c>
      <c r="F603" s="5" t="str">
        <f>_xlfn.XLOOKUP(D603,[1]!Tabela24[Código consultor],[1]!Tabela24[Canal Consultor],0,0,1)</f>
        <v>INTERNO</v>
      </c>
      <c r="G603" s="10" t="str">
        <f>_xlfn.XLOOKUP(B603,[1]!Tabela1[[Cidades ]],[1]!Tabela1[Regional],0,0,1)</f>
        <v>Magno</v>
      </c>
      <c r="H603" s="13" t="str">
        <f>_xlfn.XLOOKUP(B603,[1]!Tabela1[[Cidades ]],[1]!Tabela1[Gerente],0,0,1)</f>
        <v>Demais coordenadores</v>
      </c>
    </row>
    <row r="604" spans="1:8" x14ac:dyDescent="0.3">
      <c r="A604" s="4" t="s">
        <v>762</v>
      </c>
      <c r="B604" s="5" t="s">
        <v>11</v>
      </c>
      <c r="C604" s="6">
        <v>45835</v>
      </c>
      <c r="D604" s="7">
        <v>861705</v>
      </c>
      <c r="E604" s="5" t="str">
        <f>_xlfn.XLOOKUP(D604,[1]!Tabela24[Código consultor],[1]!Tabela24[Consultor Venda],0,0,1)</f>
        <v>PAR - COM - PAP - TQR - ERIKA DE OLIVEIRA GALLE</v>
      </c>
      <c r="F604" s="5" t="str">
        <f>_xlfn.XLOOKUP(D604,[1]!Tabela24[Código consultor],[1]!Tabela24[Canal Consultor],0,0,1)</f>
        <v>PAR</v>
      </c>
      <c r="G604" s="5" t="str">
        <f>_xlfn.XLOOKUP(B604,[1]!Tabela1[[Cidades ]],[1]!Tabela1[Regional],0,0,1)</f>
        <v>Magno</v>
      </c>
      <c r="H604" s="8" t="str">
        <f>_xlfn.XLOOKUP(B604,[1]!Tabela1[[Cidades ]],[1]!Tabela1[Gerente],0,0,1)</f>
        <v>Demais coordenadores</v>
      </c>
    </row>
    <row r="605" spans="1:8" x14ac:dyDescent="0.3">
      <c r="A605" s="9" t="s">
        <v>763</v>
      </c>
      <c r="B605" s="10" t="s">
        <v>46</v>
      </c>
      <c r="C605" s="11">
        <v>45835</v>
      </c>
      <c r="D605" s="12">
        <v>788656</v>
      </c>
      <c r="E605" s="5" t="str">
        <f>_xlfn.XLOOKUP(D605,[1]!Tabela24[Código consultor],[1]!Tabela24[Consultor Venda],0,0,1)</f>
        <v>PAR - STB - PAP - JOY TELECOM - GABRIELA ALVES DE GODOY</v>
      </c>
      <c r="F605" s="5" t="str">
        <f>_xlfn.XLOOKUP(D605,[1]!Tabela24[Código consultor],[1]!Tabela24[Canal Consultor],0,0,1)</f>
        <v>PAR_DIG</v>
      </c>
      <c r="G605" s="10" t="str">
        <f>_xlfn.XLOOKUP(B605,[1]!Tabela1[[Cidades ]],[1]!Tabela1[Regional],0,0,1)</f>
        <v>Magno</v>
      </c>
      <c r="H605" s="13" t="str">
        <f>_xlfn.XLOOKUP(B605,[1]!Tabela1[[Cidades ]],[1]!Tabela1[Gerente],0,0,1)</f>
        <v>Demais coordenadores</v>
      </c>
    </row>
    <row r="606" spans="1:8" x14ac:dyDescent="0.3">
      <c r="A606" s="4" t="s">
        <v>765</v>
      </c>
      <c r="B606" s="5" t="s">
        <v>46</v>
      </c>
      <c r="C606" s="6">
        <v>45835</v>
      </c>
      <c r="D606" s="7">
        <v>788656</v>
      </c>
      <c r="E606" s="5" t="str">
        <f>_xlfn.XLOOKUP(D606,[1]!Tabela24[Código consultor],[1]!Tabela24[Consultor Venda],0,0,1)</f>
        <v>PAR - STB - PAP - JOY TELECOM - GABRIELA ALVES DE GODOY</v>
      </c>
      <c r="F606" s="5" t="str">
        <f>_xlfn.XLOOKUP(D606,[1]!Tabela24[Código consultor],[1]!Tabela24[Canal Consultor],0,0,1)</f>
        <v>PAR_DIG</v>
      </c>
      <c r="G606" s="5" t="str">
        <f>_xlfn.XLOOKUP(B606,[1]!Tabela1[[Cidades ]],[1]!Tabela1[Regional],0,0,1)</f>
        <v>Magno</v>
      </c>
      <c r="H606" s="8" t="str">
        <f>_xlfn.XLOOKUP(B606,[1]!Tabela1[[Cidades ]],[1]!Tabela1[Gerente],0,0,1)</f>
        <v>Demais coordenadores</v>
      </c>
    </row>
    <row r="607" spans="1:8" x14ac:dyDescent="0.3">
      <c r="A607" s="9" t="s">
        <v>766</v>
      </c>
      <c r="B607" s="10" t="s">
        <v>65</v>
      </c>
      <c r="C607" s="11">
        <v>45835</v>
      </c>
      <c r="D607" s="12">
        <v>683063</v>
      </c>
      <c r="E607" s="5" t="str">
        <f>_xlfn.XLOOKUP(D607,[1]!Tabela24[Código consultor],[1]!Tabela24[Consultor Venda],0,0,1)</f>
        <v>COM - CUA - BRUNO MANOEL DO NASCIMENTO</v>
      </c>
      <c r="F607" s="5" t="str">
        <f>_xlfn.XLOOKUP(D607,[1]!Tabela24[Código consultor],[1]!Tabela24[Canal Consultor],0,0,1)</f>
        <v>Pap</v>
      </c>
      <c r="G607" s="10" t="str">
        <f>_xlfn.XLOOKUP(B607,[1]!Tabela1[[Cidades ]],[1]!Tabela1[Regional],0,0,1)</f>
        <v>Marcio</v>
      </c>
      <c r="H607" s="13" t="str">
        <f>_xlfn.XLOOKUP(B607,[1]!Tabela1[[Cidades ]],[1]!Tabela1[Gerente],0,0,1)</f>
        <v>Demais coordenadores</v>
      </c>
    </row>
    <row r="608" spans="1:8" x14ac:dyDescent="0.3">
      <c r="A608" s="4" t="s">
        <v>767</v>
      </c>
      <c r="B608" s="5" t="s">
        <v>11</v>
      </c>
      <c r="C608" s="6">
        <v>45835</v>
      </c>
      <c r="D608" s="7">
        <v>235841</v>
      </c>
      <c r="E608" s="5" t="str">
        <f>_xlfn.XLOOKUP(D608,[1]!Tabela24[Código consultor],[1]!Tabela24[Consultor Venda],0,0,1)</f>
        <v>DIG - CCO - KAUANA BONI</v>
      </c>
      <c r="F608" s="5" t="str">
        <f>_xlfn.XLOOKUP(D608,[1]!Tabela24[Código consultor],[1]!Tabela24[Canal Consultor],0,0,1)</f>
        <v>DIGITAL</v>
      </c>
      <c r="G608" s="5" t="str">
        <f>_xlfn.XLOOKUP(B608,[1]!Tabela1[[Cidades ]],[1]!Tabela1[Regional],0,0,1)</f>
        <v>Magno</v>
      </c>
      <c r="H608" s="8" t="str">
        <f>_xlfn.XLOOKUP(B608,[1]!Tabela1[[Cidades ]],[1]!Tabela1[Gerente],0,0,1)</f>
        <v>Demais coordenadores</v>
      </c>
    </row>
    <row r="609" spans="1:8" x14ac:dyDescent="0.3">
      <c r="A609" s="9" t="s">
        <v>108</v>
      </c>
      <c r="B609" s="10" t="s">
        <v>30</v>
      </c>
      <c r="C609" s="11">
        <v>45835</v>
      </c>
      <c r="D609" s="12">
        <v>867522</v>
      </c>
      <c r="E609" s="5" t="str">
        <f>_xlfn.XLOOKUP(D609,[1]!Tabela24[Código consultor],[1]!Tabela24[Consultor Venda],0,0,1)</f>
        <v>COM - IGA - SANDRO CESAR MARTINS</v>
      </c>
      <c r="F609" s="5" t="str">
        <f>_xlfn.XLOOKUP(D609,[1]!Tabela24[Código consultor],[1]!Tabela24[Canal Consultor],0,0,1)</f>
        <v>Pap</v>
      </c>
      <c r="G609" s="10" t="str">
        <f>_xlfn.XLOOKUP(B609,[1]!Tabela1[[Cidades ]],[1]!Tabela1[Regional],0,0,1)</f>
        <v>Jean</v>
      </c>
      <c r="H609" s="13" t="str">
        <f>_xlfn.XLOOKUP(B609,[1]!Tabela1[[Cidades ]],[1]!Tabela1[Gerente],0,0,1)</f>
        <v>Demais coordenadores</v>
      </c>
    </row>
    <row r="610" spans="1:8" x14ac:dyDescent="0.3">
      <c r="A610" s="4" t="s">
        <v>270</v>
      </c>
      <c r="B610" s="5" t="s">
        <v>34</v>
      </c>
      <c r="C610" s="6">
        <v>45835</v>
      </c>
      <c r="D610" s="7">
        <v>683349</v>
      </c>
      <c r="E610" s="5" t="str">
        <f>_xlfn.XLOOKUP(D610,[1]!Tabela24[Código consultor],[1]!Tabela24[Consultor Venda],0,0,1)</f>
        <v>DIG - CCO - EVELLIN SALOA MAIA DA CONCEICAO</v>
      </c>
      <c r="F610" s="5" t="str">
        <f>_xlfn.XLOOKUP(D610,[1]!Tabela24[Código consultor],[1]!Tabela24[Canal Consultor],0,0,1)</f>
        <v>DIGITAL</v>
      </c>
      <c r="G610" s="5" t="str">
        <f>_xlfn.XLOOKUP(B610,[1]!Tabela1[[Cidades ]],[1]!Tabela1[Regional],0,0,1)</f>
        <v>Alisson</v>
      </c>
      <c r="H610" s="8" t="str">
        <f>_xlfn.XLOOKUP(B610,[1]!Tabela1[[Cidades ]],[1]!Tabela1[Gerente],0,0,1)</f>
        <v>Karine</v>
      </c>
    </row>
    <row r="611" spans="1:8" x14ac:dyDescent="0.3">
      <c r="A611" s="9" t="s">
        <v>768</v>
      </c>
      <c r="B611" s="10" t="s">
        <v>27</v>
      </c>
      <c r="C611" s="11">
        <v>45835</v>
      </c>
      <c r="D611" s="12">
        <v>694166</v>
      </c>
      <c r="E611" s="5" t="str">
        <f>_xlfn.XLOOKUP(D611,[1]!Tabela24[Código consultor],[1]!Tabela24[Consultor Venda],0,0,1)</f>
        <v>DIG - CCO - CARINE CORREA SOARES</v>
      </c>
      <c r="F611" s="5" t="str">
        <f>_xlfn.XLOOKUP(D611,[1]!Tabela24[Código consultor],[1]!Tabela24[Canal Consultor],0,0,1)</f>
        <v>DIGITAL</v>
      </c>
      <c r="G611" s="10" t="str">
        <f>_xlfn.XLOOKUP(B611,[1]!Tabela1[[Cidades ]],[1]!Tabela1[Regional],0,0,1)</f>
        <v>Alisson</v>
      </c>
      <c r="H611" s="13" t="str">
        <f>_xlfn.XLOOKUP(B611,[1]!Tabela1[[Cidades ]],[1]!Tabela1[Gerente],0,0,1)</f>
        <v>Tatiane</v>
      </c>
    </row>
    <row r="612" spans="1:8" x14ac:dyDescent="0.3">
      <c r="A612" s="4" t="s">
        <v>769</v>
      </c>
      <c r="B612" s="5" t="s">
        <v>59</v>
      </c>
      <c r="C612" s="6">
        <v>45835</v>
      </c>
      <c r="D612" s="7">
        <v>775845</v>
      </c>
      <c r="E612" s="5" t="str">
        <f>_xlfn.XLOOKUP(D612,[1]!Tabela24[Código consultor],[1]!Tabela24[Consultor Venda],0,0,1)</f>
        <v>COM - UMR - BRUNA RAFAELA TOTH</v>
      </c>
      <c r="F612" s="5" t="str">
        <f>_xlfn.XLOOKUP(D612,[1]!Tabela24[Código consultor],[1]!Tabela24[Canal Consultor],0,0,1)</f>
        <v>INTERNO</v>
      </c>
      <c r="G612" s="5" t="str">
        <f>_xlfn.XLOOKUP(B612,[1]!Tabela1[[Cidades ]],[1]!Tabela1[Regional],0,0,1)</f>
        <v>Adilson</v>
      </c>
      <c r="H612" s="8" t="str">
        <f>_xlfn.XLOOKUP(B612,[1]!Tabela1[[Cidades ]],[1]!Tabela1[Gerente],0,0,1)</f>
        <v>Demais coordenadores</v>
      </c>
    </row>
    <row r="613" spans="1:8" x14ac:dyDescent="0.3">
      <c r="A613" s="9" t="s">
        <v>942</v>
      </c>
      <c r="B613" s="10" t="s">
        <v>59</v>
      </c>
      <c r="C613" s="11">
        <v>45835</v>
      </c>
      <c r="D613" s="12">
        <v>600710</v>
      </c>
      <c r="E613" s="5" t="str">
        <f>_xlfn.XLOOKUP(D613,[1]!Tabela24[Código consultor],[1]!Tabela24[Consultor Venda],0,0,1)</f>
        <v>DIG - CCO - BRUNA BALBINOTTI</v>
      </c>
      <c r="F613" s="5" t="str">
        <f>_xlfn.XLOOKUP(D613,[1]!Tabela24[Código consultor],[1]!Tabela24[Canal Consultor],0,0,1)</f>
        <v>DIGITAL</v>
      </c>
      <c r="G613" s="10" t="str">
        <f>_xlfn.XLOOKUP(B613,[1]!Tabela1[[Cidades ]],[1]!Tabela1[Regional],0,0,1)</f>
        <v>Adilson</v>
      </c>
      <c r="H613" s="13" t="str">
        <f>_xlfn.XLOOKUP(B613,[1]!Tabela1[[Cidades ]],[1]!Tabela1[Gerente],0,0,1)</f>
        <v>Demais coordenadores</v>
      </c>
    </row>
    <row r="614" spans="1:8" x14ac:dyDescent="0.3">
      <c r="A614" s="4" t="s">
        <v>943</v>
      </c>
      <c r="B614" s="5" t="s">
        <v>116</v>
      </c>
      <c r="C614" s="6">
        <v>45835</v>
      </c>
      <c r="D614" s="7">
        <v>233138</v>
      </c>
      <c r="E614" s="5" t="str">
        <f>_xlfn.XLOOKUP(D614,[1]!Tabela24[Código consultor],[1]!Tabela24[Consultor Venda],0,0,1)</f>
        <v>PAR - INTE - GRP - MOBILE HD - ALINE KARNOSKI</v>
      </c>
      <c r="F614" s="5" t="str">
        <f>_xlfn.XLOOKUP(D614,[1]!Tabela24[Código consultor],[1]!Tabela24[Canal Consultor],0,0,1)</f>
        <v>PAR</v>
      </c>
      <c r="G614" s="5" t="str">
        <f>_xlfn.XLOOKUP(B614,[1]!Tabela1[[Cidades ]],[1]!Tabela1[Regional],0,0,1)</f>
        <v>Jean</v>
      </c>
      <c r="H614" s="8" t="str">
        <f>_xlfn.XLOOKUP(B614,[1]!Tabela1[[Cidades ]],[1]!Tabela1[Gerente],0,0,1)</f>
        <v>Demais coordenadores</v>
      </c>
    </row>
    <row r="615" spans="1:8" x14ac:dyDescent="0.3">
      <c r="A615" s="9" t="s">
        <v>771</v>
      </c>
      <c r="B615" s="10" t="s">
        <v>25</v>
      </c>
      <c r="C615" s="11">
        <v>45835</v>
      </c>
      <c r="D615" s="12">
        <v>698940</v>
      </c>
      <c r="E615" s="5" t="str">
        <f>_xlfn.XLOOKUP(D615,[1]!Tabela24[Código consultor],[1]!Tabela24[Consultor Venda],0,0,1)</f>
        <v>COM - ADZ - ANDREIA MACHADO DE OLIVEIRA</v>
      </c>
      <c r="F615" s="5" t="str">
        <f>_xlfn.XLOOKUP(D615,[1]!Tabela24[Código consultor],[1]!Tabela24[Canal Consultor],0,0,1)</f>
        <v>INTERNO</v>
      </c>
      <c r="G615" s="10" t="str">
        <f>_xlfn.XLOOKUP(B615,[1]!Tabela1[[Cidades ]],[1]!Tabela1[Regional],0,0,1)</f>
        <v>Maycon</v>
      </c>
      <c r="H615" s="13" t="str">
        <f>_xlfn.XLOOKUP(B615,[1]!Tabela1[[Cidades ]],[1]!Tabela1[Gerente],0,0,1)</f>
        <v>Demais coordenadores</v>
      </c>
    </row>
    <row r="616" spans="1:8" x14ac:dyDescent="0.3">
      <c r="A616" s="4" t="s">
        <v>773</v>
      </c>
      <c r="B616" s="5" t="s">
        <v>12</v>
      </c>
      <c r="C616" s="6">
        <v>45835</v>
      </c>
      <c r="D616" s="7">
        <v>858855</v>
      </c>
      <c r="E616" s="5" t="str">
        <f>_xlfn.XLOOKUP(D616,[1]!Tabela24[Código consultor],[1]!Tabela24[Consultor Venda],0,0,1)</f>
        <v>ADM - PGO - FERNANDO MIARA DE ALMEIDA</v>
      </c>
      <c r="F616" s="5" t="str">
        <f>_xlfn.XLOOKUP(D616,[1]!Tabela24[Código consultor],[1]!Tabela24[Canal Consultor],0,0,1)</f>
        <v>ADM Interno</v>
      </c>
      <c r="G616" s="5" t="str">
        <f>_xlfn.XLOOKUP(B616,[1]!Tabela1[[Cidades ]],[1]!Tabela1[Regional],0,0,1)</f>
        <v>Jean</v>
      </c>
      <c r="H616" s="8" t="str">
        <f>_xlfn.XLOOKUP(B616,[1]!Tabela1[[Cidades ]],[1]!Tabela1[Gerente],0,0,1)</f>
        <v>Demais coordenadores</v>
      </c>
    </row>
    <row r="617" spans="1:8" x14ac:dyDescent="0.3">
      <c r="A617" s="9" t="s">
        <v>775</v>
      </c>
      <c r="B617" s="10" t="s">
        <v>11</v>
      </c>
      <c r="C617" s="11">
        <v>45835</v>
      </c>
      <c r="D617" s="12">
        <v>861705</v>
      </c>
      <c r="E617" s="5" t="str">
        <f>_xlfn.XLOOKUP(D617,[1]!Tabela24[Código consultor],[1]!Tabela24[Consultor Venda],0,0,1)</f>
        <v>PAR - COM - PAP - TQR - ERIKA DE OLIVEIRA GALLE</v>
      </c>
      <c r="F617" s="5" t="str">
        <f>_xlfn.XLOOKUP(D617,[1]!Tabela24[Código consultor],[1]!Tabela24[Canal Consultor],0,0,1)</f>
        <v>PAR</v>
      </c>
      <c r="G617" s="10" t="str">
        <f>_xlfn.XLOOKUP(B617,[1]!Tabela1[[Cidades ]],[1]!Tabela1[Regional],0,0,1)</f>
        <v>Magno</v>
      </c>
      <c r="H617" s="13" t="str">
        <f>_xlfn.XLOOKUP(B617,[1]!Tabela1[[Cidades ]],[1]!Tabela1[Gerente],0,0,1)</f>
        <v>Demais coordenadores</v>
      </c>
    </row>
    <row r="618" spans="1:8" x14ac:dyDescent="0.3">
      <c r="A618" s="4" t="s">
        <v>944</v>
      </c>
      <c r="B618" s="5" t="s">
        <v>18</v>
      </c>
      <c r="C618" s="6">
        <v>45835</v>
      </c>
      <c r="D618" s="7">
        <v>875515</v>
      </c>
      <c r="E618" s="5" t="str">
        <f>_xlfn.XLOOKUP(D618,[1]!Tabela24[Código consultor],[1]!Tabela24[Consultor Venda],0,0,1)</f>
        <v>COM - MVH - LUCIANE FRANCIELI PEDROZO</v>
      </c>
      <c r="F618" s="5" t="str">
        <f>_xlfn.XLOOKUP(D618,[1]!Tabela24[Código consultor],[1]!Tabela24[Canal Consultor],0,0,1)</f>
        <v>INTERNO</v>
      </c>
      <c r="G618" s="5" t="str">
        <f>_xlfn.XLOOKUP(B618,[1]!Tabela1[[Cidades ]],[1]!Tabela1[Regional],0,0,1)</f>
        <v>Maycon</v>
      </c>
      <c r="H618" s="8" t="str">
        <f>_xlfn.XLOOKUP(B618,[1]!Tabela1[[Cidades ]],[1]!Tabela1[Gerente],0,0,1)</f>
        <v>Demais coordenadores</v>
      </c>
    </row>
    <row r="619" spans="1:8" x14ac:dyDescent="0.3">
      <c r="A619" s="9" t="s">
        <v>778</v>
      </c>
      <c r="B619" s="10" t="s">
        <v>10</v>
      </c>
      <c r="C619" s="11">
        <v>45835</v>
      </c>
      <c r="D619" s="12">
        <v>233138</v>
      </c>
      <c r="E619" s="5" t="str">
        <f>_xlfn.XLOOKUP(D619,[1]!Tabela24[Código consultor],[1]!Tabela24[Consultor Venda],0,0,1)</f>
        <v>PAR - INTE - GRP - MOBILE HD - ALINE KARNOSKI</v>
      </c>
      <c r="F619" s="5" t="str">
        <f>_xlfn.XLOOKUP(D619,[1]!Tabela24[Código consultor],[1]!Tabela24[Canal Consultor],0,0,1)</f>
        <v>PAR</v>
      </c>
      <c r="G619" s="10" t="str">
        <f>_xlfn.XLOOKUP(B619,[1]!Tabela1[[Cidades ]],[1]!Tabela1[Regional],0,0,1)</f>
        <v>Jean</v>
      </c>
      <c r="H619" s="13" t="str">
        <f>_xlfn.XLOOKUP(B619,[1]!Tabela1[[Cidades ]],[1]!Tabela1[Gerente],0,0,1)</f>
        <v>Demais coordenadores</v>
      </c>
    </row>
    <row r="620" spans="1:8" x14ac:dyDescent="0.3">
      <c r="A620" s="4" t="s">
        <v>779</v>
      </c>
      <c r="B620" s="5" t="s">
        <v>19</v>
      </c>
      <c r="C620" s="6">
        <v>45835</v>
      </c>
      <c r="D620" s="7">
        <v>262147</v>
      </c>
      <c r="E620" s="5" t="str">
        <f>_xlfn.XLOOKUP(D620,[1]!Tabela24[Código consultor],[1]!Tabela24[Consultor Venda],0,0,1)</f>
        <v>COM - GTI - ALESANDRA PETRY BRAZEIRO</v>
      </c>
      <c r="F620" s="5" t="str">
        <f>_xlfn.XLOOKUP(D620,[1]!Tabela24[Código consultor],[1]!Tabela24[Canal Consultor],0,0,1)</f>
        <v>Pap</v>
      </c>
      <c r="G620" s="5" t="str">
        <f>_xlfn.XLOOKUP(B620,[1]!Tabela1[[Cidades ]],[1]!Tabela1[Regional],0,0,1)</f>
        <v>Magno</v>
      </c>
      <c r="H620" s="8" t="str">
        <f>_xlfn.XLOOKUP(B620,[1]!Tabela1[[Cidades ]],[1]!Tabela1[Gerente],0,0,1)</f>
        <v>Demais coordenadores</v>
      </c>
    </row>
    <row r="621" spans="1:8" x14ac:dyDescent="0.3">
      <c r="A621" s="9" t="s">
        <v>780</v>
      </c>
      <c r="B621" s="10" t="s">
        <v>12</v>
      </c>
      <c r="C621" s="11">
        <v>45835</v>
      </c>
      <c r="D621" s="12">
        <v>876395</v>
      </c>
      <c r="E621" s="5" t="str">
        <f>_xlfn.XLOOKUP(D621,[1]!Tabela24[Código consultor],[1]!Tabela24[Consultor Venda],0,0,1)</f>
        <v>COM - PGO - MARIA EDUARDA OLIVEIRA BRITO</v>
      </c>
      <c r="F621" s="5" t="str">
        <f>_xlfn.XLOOKUP(D621,[1]!Tabela24[Código consultor],[1]!Tabela24[Canal Consultor],0,0,1)</f>
        <v>Pap</v>
      </c>
      <c r="G621" s="10" t="str">
        <f>_xlfn.XLOOKUP(B621,[1]!Tabela1[[Cidades ]],[1]!Tabela1[Regional],0,0,1)</f>
        <v>Jean</v>
      </c>
      <c r="H621" s="13" t="str">
        <f>_xlfn.XLOOKUP(B621,[1]!Tabela1[[Cidades ]],[1]!Tabela1[Gerente],0,0,1)</f>
        <v>Demais coordenadores</v>
      </c>
    </row>
    <row r="622" spans="1:8" x14ac:dyDescent="0.3">
      <c r="A622" s="4" t="s">
        <v>945</v>
      </c>
      <c r="B622" s="5" t="s">
        <v>19</v>
      </c>
      <c r="C622" s="6">
        <v>45835</v>
      </c>
      <c r="D622" s="7">
        <v>653931</v>
      </c>
      <c r="E622" s="5" t="str">
        <f>_xlfn.XLOOKUP(D622,[1]!Tabela24[Código consultor],[1]!Tabela24[Consultor Venda],0,0,1)</f>
        <v>COM - CHN - SANTIAGO DA SILVA RODRIGUES</v>
      </c>
      <c r="F622" s="5" t="str">
        <f>_xlfn.XLOOKUP(D622,[1]!Tabela24[Código consultor],[1]!Tabela24[Canal Consultor],0,0,1)</f>
        <v>Pap</v>
      </c>
      <c r="G622" s="5" t="str">
        <f>_xlfn.XLOOKUP(B622,[1]!Tabela1[[Cidades ]],[1]!Tabela1[Regional],0,0,1)</f>
        <v>Magno</v>
      </c>
      <c r="H622" s="8" t="str">
        <f>_xlfn.XLOOKUP(B622,[1]!Tabela1[[Cidades ]],[1]!Tabela1[Gerente],0,0,1)</f>
        <v>Demais coordenadores</v>
      </c>
    </row>
    <row r="623" spans="1:8" x14ac:dyDescent="0.3">
      <c r="A623" s="9" t="s">
        <v>145</v>
      </c>
      <c r="B623" s="10" t="s">
        <v>19</v>
      </c>
      <c r="C623" s="11">
        <v>45835</v>
      </c>
      <c r="D623" s="12">
        <v>725067</v>
      </c>
      <c r="E623" s="5" t="str">
        <f>_xlfn.XLOOKUP(D623,[1]!Tabela24[Código consultor],[1]!Tabela24[Consultor Venda],0,0,1)</f>
        <v>COM - CHN - MICHELY SANTOS DOS SANTOS</v>
      </c>
      <c r="F623" s="5" t="str">
        <f>_xlfn.XLOOKUP(D623,[1]!Tabela24[Código consultor],[1]!Tabela24[Canal Consultor],0,0,1)</f>
        <v>Pap</v>
      </c>
      <c r="G623" s="10" t="str">
        <f>_xlfn.XLOOKUP(B623,[1]!Tabela1[[Cidades ]],[1]!Tabela1[Regional],0,0,1)</f>
        <v>Magno</v>
      </c>
      <c r="H623" s="13" t="str">
        <f>_xlfn.XLOOKUP(B623,[1]!Tabela1[[Cidades ]],[1]!Tabela1[Gerente],0,0,1)</f>
        <v>Demais coordenadores</v>
      </c>
    </row>
    <row r="624" spans="1:8" x14ac:dyDescent="0.3">
      <c r="A624" s="4" t="s">
        <v>782</v>
      </c>
      <c r="B624" s="5" t="s">
        <v>66</v>
      </c>
      <c r="C624" s="6">
        <v>45835</v>
      </c>
      <c r="D624" s="7">
        <v>600710</v>
      </c>
      <c r="E624" s="5" t="str">
        <f>_xlfn.XLOOKUP(D624,[1]!Tabela24[Código consultor],[1]!Tabela24[Consultor Venda],0,0,1)</f>
        <v>DIG - CCO - BRUNA BALBINOTTI</v>
      </c>
      <c r="F624" s="5" t="str">
        <f>_xlfn.XLOOKUP(D624,[1]!Tabela24[Código consultor],[1]!Tabela24[Canal Consultor],0,0,1)</f>
        <v>DIGITAL</v>
      </c>
      <c r="G624" s="5" t="str">
        <f>_xlfn.XLOOKUP(B624,[1]!Tabela1[[Cidades ]],[1]!Tabela1[Regional],0,0,1)</f>
        <v>Marcio</v>
      </c>
      <c r="H624" s="8" t="str">
        <f>_xlfn.XLOOKUP(B624,[1]!Tabela1[[Cidades ]],[1]!Tabela1[Gerente],0,0,1)</f>
        <v>Demais coordenadores</v>
      </c>
    </row>
    <row r="625" spans="1:8" x14ac:dyDescent="0.3">
      <c r="A625" s="9" t="s">
        <v>946</v>
      </c>
      <c r="B625" s="10" t="s">
        <v>10</v>
      </c>
      <c r="C625" s="11">
        <v>45835</v>
      </c>
      <c r="D625" s="12">
        <v>233138</v>
      </c>
      <c r="E625" s="5" t="str">
        <f>_xlfn.XLOOKUP(D625,[1]!Tabela24[Código consultor],[1]!Tabela24[Consultor Venda],0,0,1)</f>
        <v>PAR - INTE - GRP - MOBILE HD - ALINE KARNOSKI</v>
      </c>
      <c r="F625" s="5" t="str">
        <f>_xlfn.XLOOKUP(D625,[1]!Tabela24[Código consultor],[1]!Tabela24[Canal Consultor],0,0,1)</f>
        <v>PAR</v>
      </c>
      <c r="G625" s="10" t="str">
        <f>_xlfn.XLOOKUP(B625,[1]!Tabela1[[Cidades ]],[1]!Tabela1[Regional],0,0,1)</f>
        <v>Jean</v>
      </c>
      <c r="H625" s="13" t="str">
        <f>_xlfn.XLOOKUP(B625,[1]!Tabela1[[Cidades ]],[1]!Tabela1[Gerente],0,0,1)</f>
        <v>Demais coordenadores</v>
      </c>
    </row>
    <row r="626" spans="1:8" x14ac:dyDescent="0.3">
      <c r="A626" s="4" t="s">
        <v>947</v>
      </c>
      <c r="B626" s="5" t="s">
        <v>30</v>
      </c>
      <c r="C626" s="6">
        <v>45835</v>
      </c>
      <c r="D626" s="7">
        <v>867522</v>
      </c>
      <c r="E626" s="5" t="str">
        <f>_xlfn.XLOOKUP(D626,[1]!Tabela24[Código consultor],[1]!Tabela24[Consultor Venda],0,0,1)</f>
        <v>COM - IGA - SANDRO CESAR MARTINS</v>
      </c>
      <c r="F626" s="5" t="str">
        <f>_xlfn.XLOOKUP(D626,[1]!Tabela24[Código consultor],[1]!Tabela24[Canal Consultor],0,0,1)</f>
        <v>Pap</v>
      </c>
      <c r="G626" s="5" t="str">
        <f>_xlfn.XLOOKUP(B626,[1]!Tabela1[[Cidades ]],[1]!Tabela1[Regional],0,0,1)</f>
        <v>Jean</v>
      </c>
      <c r="H626" s="8" t="str">
        <f>_xlfn.XLOOKUP(B626,[1]!Tabela1[[Cidades ]],[1]!Tabela1[Gerente],0,0,1)</f>
        <v>Demais coordenadores</v>
      </c>
    </row>
    <row r="627" spans="1:8" x14ac:dyDescent="0.3">
      <c r="A627" s="9" t="s">
        <v>124</v>
      </c>
      <c r="B627" s="10" t="s">
        <v>38</v>
      </c>
      <c r="C627" s="11">
        <v>45835</v>
      </c>
      <c r="D627" s="12">
        <v>619784</v>
      </c>
      <c r="E627" s="5" t="str">
        <f>_xlfn.XLOOKUP(D627,[1]!Tabela24[Código consultor],[1]!Tabela24[Consultor Venda],0,0,1)</f>
        <v>COM - TEB - SUELEN DE FATIMA DO AMARAL</v>
      </c>
      <c r="F627" s="5" t="str">
        <f>_xlfn.XLOOKUP(D627,[1]!Tabela24[Código consultor],[1]!Tabela24[Canal Consultor],0,0,1)</f>
        <v>INTERNO</v>
      </c>
      <c r="G627" s="10" t="str">
        <f>_xlfn.XLOOKUP(B627,[1]!Tabela1[[Cidades ]],[1]!Tabela1[Regional],0,0,1)</f>
        <v>Jean</v>
      </c>
      <c r="H627" s="13" t="str">
        <f>_xlfn.XLOOKUP(B627,[1]!Tabela1[[Cidades ]],[1]!Tabela1[Gerente],0,0,1)</f>
        <v>Demais coordenadores</v>
      </c>
    </row>
    <row r="628" spans="1:8" x14ac:dyDescent="0.3">
      <c r="A628" s="4" t="s">
        <v>784</v>
      </c>
      <c r="B628" s="5" t="s">
        <v>16</v>
      </c>
      <c r="C628" s="6">
        <v>45835</v>
      </c>
      <c r="D628" s="7">
        <v>560570</v>
      </c>
      <c r="E628" s="5" t="str">
        <f>_xlfn.XLOOKUP(D628,[1]!Tabela24[Código consultor],[1]!Tabela24[Consultor Venda],0,0,1)</f>
        <v>COM - CSL - ISMAEL LUIZ DA CRUZ</v>
      </c>
      <c r="F628" s="5" t="str">
        <f>_xlfn.XLOOKUP(D628,[1]!Tabela24[Código consultor],[1]!Tabela24[Canal Consultor],0,0,1)</f>
        <v>Pap</v>
      </c>
      <c r="G628" s="5" t="str">
        <f>_xlfn.XLOOKUP(B628,[1]!Tabela1[[Cidades ]],[1]!Tabela1[Regional],0,0,1)</f>
        <v>Magno</v>
      </c>
      <c r="H628" s="8" t="str">
        <f>_xlfn.XLOOKUP(B628,[1]!Tabela1[[Cidades ]],[1]!Tabela1[Gerente],0,0,1)</f>
        <v>Demais coordenadores</v>
      </c>
    </row>
    <row r="629" spans="1:8" x14ac:dyDescent="0.3">
      <c r="A629" s="9" t="s">
        <v>152</v>
      </c>
      <c r="B629" s="10" t="s">
        <v>76</v>
      </c>
      <c r="C629" s="11">
        <v>45835</v>
      </c>
      <c r="D629" s="12">
        <v>870268</v>
      </c>
      <c r="E629" s="5" t="str">
        <f>_xlfn.XLOOKUP(D629,[1]!Tabela24[Código consultor],[1]!Tabela24[Consultor Venda],0,0,1)</f>
        <v>COM - CIO - VITORIA LUIZA ALVES PEREIRA DA CRUZ</v>
      </c>
      <c r="F629" s="5" t="str">
        <f>_xlfn.XLOOKUP(D629,[1]!Tabela24[Código consultor],[1]!Tabela24[Canal Consultor],0,0,1)</f>
        <v>INTERNO</v>
      </c>
      <c r="G629" s="10" t="str">
        <f>_xlfn.XLOOKUP(B629,[1]!Tabela1[[Cidades ]],[1]!Tabela1[Regional],0,0,1)</f>
        <v>Alisson</v>
      </c>
      <c r="H629" s="13" t="str">
        <f>_xlfn.XLOOKUP(B629,[1]!Tabela1[[Cidades ]],[1]!Tabela1[Gerente],0,0,1)</f>
        <v>Helena</v>
      </c>
    </row>
    <row r="630" spans="1:8" x14ac:dyDescent="0.3">
      <c r="A630" s="4" t="s">
        <v>785</v>
      </c>
      <c r="B630" s="5" t="s">
        <v>53</v>
      </c>
      <c r="C630" s="6">
        <v>45835</v>
      </c>
      <c r="D630" s="7">
        <v>710727</v>
      </c>
      <c r="E630" s="5" t="str">
        <f>_xlfn.XLOOKUP(D630,[1]!Tabela24[Código consultor],[1]!Tabela24[Consultor Venda],0,0,1)</f>
        <v>COM - DOS - KAIQUE DA SILVA PASSOS</v>
      </c>
      <c r="F630" s="5" t="str">
        <f>_xlfn.XLOOKUP(D630,[1]!Tabela24[Código consultor],[1]!Tabela24[Canal Consultor],0,0,1)</f>
        <v>Pap</v>
      </c>
      <c r="G630" s="5" t="str">
        <f>_xlfn.XLOOKUP(B630,[1]!Tabela1[[Cidades ]],[1]!Tabela1[Regional],0,0,1)</f>
        <v>Adilson</v>
      </c>
      <c r="H630" s="8" t="str">
        <f>_xlfn.XLOOKUP(B630,[1]!Tabela1[[Cidades ]],[1]!Tabela1[Gerente],0,0,1)</f>
        <v>Demais coordenadores</v>
      </c>
    </row>
    <row r="631" spans="1:8" x14ac:dyDescent="0.3">
      <c r="A631" s="9" t="s">
        <v>154</v>
      </c>
      <c r="B631" s="10" t="s">
        <v>83</v>
      </c>
      <c r="C631" s="11">
        <v>45835</v>
      </c>
      <c r="D631" s="12">
        <v>729970</v>
      </c>
      <c r="E631" s="5" t="str">
        <f>_xlfn.XLOOKUP(D631,[1]!Tabela24[Código consultor],[1]!Tabela24[Consultor Venda],0,0,1)</f>
        <v>COM - UMR - VINICIUS HENRIQUE HUSS DA MOTA</v>
      </c>
      <c r="F631" s="5" t="str">
        <f>_xlfn.XLOOKUP(D631,[1]!Tabela24[Código consultor],[1]!Tabela24[Canal Consultor],0,0,1)</f>
        <v>INTERNO</v>
      </c>
      <c r="G631" s="10" t="str">
        <f>_xlfn.XLOOKUP(B631,[1]!Tabela1[[Cidades ]],[1]!Tabela1[Regional],0,0,1)</f>
        <v>Adilson</v>
      </c>
      <c r="H631" s="13" t="str">
        <f>_xlfn.XLOOKUP(B631,[1]!Tabela1[[Cidades ]],[1]!Tabela1[Gerente],0,0,1)</f>
        <v>Demais coordenadores</v>
      </c>
    </row>
    <row r="632" spans="1:8" x14ac:dyDescent="0.3">
      <c r="A632" s="4" t="s">
        <v>786</v>
      </c>
      <c r="B632" s="5" t="s">
        <v>11</v>
      </c>
      <c r="C632" s="6">
        <v>45835</v>
      </c>
      <c r="D632" s="7">
        <v>729970</v>
      </c>
      <c r="E632" s="5" t="str">
        <f>_xlfn.XLOOKUP(D632,[1]!Tabela24[Código consultor],[1]!Tabela24[Consultor Venda],0,0,1)</f>
        <v>COM - UMR - VINICIUS HENRIQUE HUSS DA MOTA</v>
      </c>
      <c r="F632" s="5" t="str">
        <f>_xlfn.XLOOKUP(D632,[1]!Tabela24[Código consultor],[1]!Tabela24[Canal Consultor],0,0,1)</f>
        <v>INTERNO</v>
      </c>
      <c r="G632" s="5" t="str">
        <f>_xlfn.XLOOKUP(B632,[1]!Tabela1[[Cidades ]],[1]!Tabela1[Regional],0,0,1)</f>
        <v>Magno</v>
      </c>
      <c r="H632" s="8" t="str">
        <f>_xlfn.XLOOKUP(B632,[1]!Tabela1[[Cidades ]],[1]!Tabela1[Gerente],0,0,1)</f>
        <v>Demais coordenadores</v>
      </c>
    </row>
    <row r="633" spans="1:8" x14ac:dyDescent="0.3">
      <c r="A633" s="9" t="s">
        <v>166</v>
      </c>
      <c r="B633" s="10" t="s">
        <v>31</v>
      </c>
      <c r="C633" s="11">
        <v>45835</v>
      </c>
      <c r="D633" s="12">
        <v>235841</v>
      </c>
      <c r="E633" s="5" t="str">
        <f>_xlfn.XLOOKUP(D633,[1]!Tabela24[Código consultor],[1]!Tabela24[Consultor Venda],0,0,1)</f>
        <v>DIG - CCO - KAUANA BONI</v>
      </c>
      <c r="F633" s="5" t="str">
        <f>_xlfn.XLOOKUP(D633,[1]!Tabela24[Código consultor],[1]!Tabela24[Canal Consultor],0,0,1)</f>
        <v>DIGITAL</v>
      </c>
      <c r="G633" s="10" t="str">
        <f>_xlfn.XLOOKUP(B633,[1]!Tabela1[[Cidades ]],[1]!Tabela1[Regional],0,0,1)</f>
        <v>Maycon</v>
      </c>
      <c r="H633" s="13" t="str">
        <f>_xlfn.XLOOKUP(B633,[1]!Tabela1[[Cidades ]],[1]!Tabela1[Gerente],0,0,1)</f>
        <v>Demais coordenadores</v>
      </c>
    </row>
    <row r="634" spans="1:8" x14ac:dyDescent="0.3">
      <c r="A634" s="4" t="s">
        <v>167</v>
      </c>
      <c r="B634" s="5" t="s">
        <v>35</v>
      </c>
      <c r="C634" s="6">
        <v>45835</v>
      </c>
      <c r="D634" s="7">
        <v>766269</v>
      </c>
      <c r="E634" s="5" t="str">
        <f>_xlfn.XLOOKUP(D634,[1]!Tabela24[Código consultor],[1]!Tabela24[Consultor Venda],0,0,1)</f>
        <v>COM - FRL - THALIA PRATES RIGHI</v>
      </c>
      <c r="F634" s="5" t="str">
        <f>_xlfn.XLOOKUP(D634,[1]!Tabela24[Código consultor],[1]!Tabela24[Canal Consultor],0,0,1)</f>
        <v>Pap</v>
      </c>
      <c r="G634" s="5" t="str">
        <f>_xlfn.XLOOKUP(B634,[1]!Tabela1[[Cidades ]],[1]!Tabela1[Regional],0,0,1)</f>
        <v>Magno</v>
      </c>
      <c r="H634" s="8" t="str">
        <f>_xlfn.XLOOKUP(B634,[1]!Tabela1[[Cidades ]],[1]!Tabela1[Gerente],0,0,1)</f>
        <v>Demais coordenadores</v>
      </c>
    </row>
    <row r="635" spans="1:8" x14ac:dyDescent="0.3">
      <c r="A635" s="9" t="s">
        <v>948</v>
      </c>
      <c r="B635" s="10" t="s">
        <v>19</v>
      </c>
      <c r="C635" s="11">
        <v>45835</v>
      </c>
      <c r="D635" s="12">
        <v>233138</v>
      </c>
      <c r="E635" s="5" t="str">
        <f>_xlfn.XLOOKUP(D635,[1]!Tabela24[Código consultor],[1]!Tabela24[Consultor Venda],0,0,1)</f>
        <v>PAR - INTE - GRP - MOBILE HD - ALINE KARNOSKI</v>
      </c>
      <c r="F635" s="5" t="str">
        <f>_xlfn.XLOOKUP(D635,[1]!Tabela24[Código consultor],[1]!Tabela24[Canal Consultor],0,0,1)</f>
        <v>PAR</v>
      </c>
      <c r="G635" s="10" t="str">
        <f>_xlfn.XLOOKUP(B635,[1]!Tabela1[[Cidades ]],[1]!Tabela1[Regional],0,0,1)</f>
        <v>Magno</v>
      </c>
      <c r="H635" s="13" t="str">
        <f>_xlfn.XLOOKUP(B635,[1]!Tabela1[[Cidades ]],[1]!Tabela1[Gerente],0,0,1)</f>
        <v>Demais coordenadores</v>
      </c>
    </row>
    <row r="636" spans="1:8" x14ac:dyDescent="0.3">
      <c r="A636" s="4" t="s">
        <v>787</v>
      </c>
      <c r="B636" s="5" t="s">
        <v>13</v>
      </c>
      <c r="C636" s="6">
        <v>45835</v>
      </c>
      <c r="D636" s="7">
        <v>788656</v>
      </c>
      <c r="E636" s="5" t="str">
        <f>_xlfn.XLOOKUP(D636,[1]!Tabela24[Código consultor],[1]!Tabela24[Consultor Venda],0,0,1)</f>
        <v>PAR - STB - PAP - JOY TELECOM - GABRIELA ALVES DE GODOY</v>
      </c>
      <c r="F636" s="5" t="str">
        <f>_xlfn.XLOOKUP(D636,[1]!Tabela24[Código consultor],[1]!Tabela24[Canal Consultor],0,0,1)</f>
        <v>PAR_DIG</v>
      </c>
      <c r="G636" s="5" t="str">
        <f>_xlfn.XLOOKUP(B636,[1]!Tabela1[[Cidades ]],[1]!Tabela1[Regional],0,0,1)</f>
        <v>Alisson</v>
      </c>
      <c r="H636" s="8" t="str">
        <f>_xlfn.XLOOKUP(B636,[1]!Tabela1[[Cidades ]],[1]!Tabela1[Gerente],0,0,1)</f>
        <v>Ariana</v>
      </c>
    </row>
    <row r="637" spans="1:8" x14ac:dyDescent="0.3">
      <c r="A637" s="9" t="s">
        <v>187</v>
      </c>
      <c r="B637" s="10" t="s">
        <v>32</v>
      </c>
      <c r="C637" s="11">
        <v>45835</v>
      </c>
      <c r="D637" s="12">
        <v>683349</v>
      </c>
      <c r="E637" s="5" t="str">
        <f>_xlfn.XLOOKUP(D637,[1]!Tabela24[Código consultor],[1]!Tabela24[Consultor Venda],0,0,1)</f>
        <v>DIG - CCO - EVELLIN SALOA MAIA DA CONCEICAO</v>
      </c>
      <c r="F637" s="5" t="str">
        <f>_xlfn.XLOOKUP(D637,[1]!Tabela24[Código consultor],[1]!Tabela24[Canal Consultor],0,0,1)</f>
        <v>DIGITAL</v>
      </c>
      <c r="G637" s="10" t="str">
        <f>_xlfn.XLOOKUP(B637,[1]!Tabela1[[Cidades ]],[1]!Tabela1[Regional],0,0,1)</f>
        <v>Jean</v>
      </c>
      <c r="H637" s="13" t="str">
        <f>_xlfn.XLOOKUP(B637,[1]!Tabela1[[Cidades ]],[1]!Tabela1[Gerente],0,0,1)</f>
        <v>Demais coordenadores</v>
      </c>
    </row>
    <row r="638" spans="1:8" x14ac:dyDescent="0.3">
      <c r="A638" s="4" t="s">
        <v>788</v>
      </c>
      <c r="B638" s="5" t="s">
        <v>10</v>
      </c>
      <c r="C638" s="6">
        <v>45835</v>
      </c>
      <c r="D638" s="7">
        <v>233138</v>
      </c>
      <c r="E638" s="5" t="str">
        <f>_xlfn.XLOOKUP(D638,[1]!Tabela24[Código consultor],[1]!Tabela24[Consultor Venda],0,0,1)</f>
        <v>PAR - INTE - GRP - MOBILE HD - ALINE KARNOSKI</v>
      </c>
      <c r="F638" s="5" t="str">
        <f>_xlfn.XLOOKUP(D638,[1]!Tabela24[Código consultor],[1]!Tabela24[Canal Consultor],0,0,1)</f>
        <v>PAR</v>
      </c>
      <c r="G638" s="5" t="str">
        <f>_xlfn.XLOOKUP(B638,[1]!Tabela1[[Cidades ]],[1]!Tabela1[Regional],0,0,1)</f>
        <v>Jean</v>
      </c>
      <c r="H638" s="8" t="str">
        <f>_xlfn.XLOOKUP(B638,[1]!Tabela1[[Cidades ]],[1]!Tabela1[Gerente],0,0,1)</f>
        <v>Demais coordenadores</v>
      </c>
    </row>
    <row r="639" spans="1:8" x14ac:dyDescent="0.3">
      <c r="A639" s="9" t="s">
        <v>789</v>
      </c>
      <c r="B639" s="10" t="s">
        <v>59</v>
      </c>
      <c r="C639" s="11">
        <v>45835</v>
      </c>
      <c r="D639" s="12">
        <v>738880</v>
      </c>
      <c r="E639" s="5" t="str">
        <f>_xlfn.XLOOKUP(D639,[1]!Tabela24[Código consultor],[1]!Tabela24[Consultor Venda],0,0,1)</f>
        <v>PAR - PAP - MUNDIALE - ANA LUIZA COUTO MATIAS</v>
      </c>
      <c r="F639" s="5" t="str">
        <f>_xlfn.XLOOKUP(D639,[1]!Tabela24[Código consultor],[1]!Tabela24[Canal Consultor],0,0,1)</f>
        <v>PAR_DIG</v>
      </c>
      <c r="G639" s="10" t="str">
        <f>_xlfn.XLOOKUP(B639,[1]!Tabela1[[Cidades ]],[1]!Tabela1[Regional],0,0,1)</f>
        <v>Adilson</v>
      </c>
      <c r="H639" s="13" t="str">
        <f>_xlfn.XLOOKUP(B639,[1]!Tabela1[[Cidades ]],[1]!Tabela1[Gerente],0,0,1)</f>
        <v>Demais coordenadores</v>
      </c>
    </row>
    <row r="640" spans="1:8" x14ac:dyDescent="0.3">
      <c r="A640" s="4" t="s">
        <v>949</v>
      </c>
      <c r="B640" s="5" t="s">
        <v>13</v>
      </c>
      <c r="C640" s="6">
        <v>45835</v>
      </c>
      <c r="D640" s="7">
        <v>879945</v>
      </c>
      <c r="E640" s="5" t="str">
        <f>_xlfn.XLOOKUP(D640,[1]!Tabela24[Código consultor],[1]!Tabela24[Consultor Venda],0,0,1)</f>
        <v>COM - PAS - MABILLY LOEBLEIN GOEDEL</v>
      </c>
      <c r="F640" s="5" t="str">
        <f>_xlfn.XLOOKUP(D640,[1]!Tabela24[Código consultor],[1]!Tabela24[Canal Consultor],0,0,1)</f>
        <v>INTERNO</v>
      </c>
      <c r="G640" s="5" t="str">
        <f>_xlfn.XLOOKUP(B640,[1]!Tabela1[[Cidades ]],[1]!Tabela1[Regional],0,0,1)</f>
        <v>Alisson</v>
      </c>
      <c r="H640" s="8" t="str">
        <f>_xlfn.XLOOKUP(B640,[1]!Tabela1[[Cidades ]],[1]!Tabela1[Gerente],0,0,1)</f>
        <v>Ariana</v>
      </c>
    </row>
    <row r="641" spans="1:8" x14ac:dyDescent="0.3">
      <c r="A641" s="9" t="s">
        <v>791</v>
      </c>
      <c r="B641" s="10" t="s">
        <v>11</v>
      </c>
      <c r="C641" s="11">
        <v>45835</v>
      </c>
      <c r="D641" s="12">
        <v>788656</v>
      </c>
      <c r="E641" s="5" t="str">
        <f>_xlfn.XLOOKUP(D641,[1]!Tabela24[Código consultor],[1]!Tabela24[Consultor Venda],0,0,1)</f>
        <v>PAR - STB - PAP - JOY TELECOM - GABRIELA ALVES DE GODOY</v>
      </c>
      <c r="F641" s="5" t="str">
        <f>_xlfn.XLOOKUP(D641,[1]!Tabela24[Código consultor],[1]!Tabela24[Canal Consultor],0,0,1)</f>
        <v>PAR_DIG</v>
      </c>
      <c r="G641" s="10" t="str">
        <f>_xlfn.XLOOKUP(B641,[1]!Tabela1[[Cidades ]],[1]!Tabela1[Regional],0,0,1)</f>
        <v>Magno</v>
      </c>
      <c r="H641" s="13" t="str">
        <f>_xlfn.XLOOKUP(B641,[1]!Tabela1[[Cidades ]],[1]!Tabela1[Gerente],0,0,1)</f>
        <v>Demais coordenadores</v>
      </c>
    </row>
    <row r="642" spans="1:8" x14ac:dyDescent="0.3">
      <c r="A642" s="4" t="s">
        <v>248</v>
      </c>
      <c r="B642" s="5" t="s">
        <v>23</v>
      </c>
      <c r="C642" s="6">
        <v>45835</v>
      </c>
      <c r="D642" s="7">
        <v>858832</v>
      </c>
      <c r="E642" s="5" t="str">
        <f>_xlfn.XLOOKUP(D642,[1]!Tabela24[Código consultor],[1]!Tabela24[Consultor Venda],0,0,1)</f>
        <v>COM - CAN - RAYSSA RIBEIRO CRISOSTOMO BENJAMIM</v>
      </c>
      <c r="F642" s="5" t="str">
        <f>_xlfn.XLOOKUP(D642,[1]!Tabela24[Código consultor],[1]!Tabela24[Canal Consultor],0,0,1)</f>
        <v>Pap</v>
      </c>
      <c r="G642" s="5" t="str">
        <f>_xlfn.XLOOKUP(B642,[1]!Tabela1[[Cidades ]],[1]!Tabela1[Regional],0,0,1)</f>
        <v>Magno</v>
      </c>
      <c r="H642" s="8" t="str">
        <f>_xlfn.XLOOKUP(B642,[1]!Tabela1[[Cidades ]],[1]!Tabela1[Gerente],0,0,1)</f>
        <v>Demais coordenadores</v>
      </c>
    </row>
    <row r="643" spans="1:8" x14ac:dyDescent="0.3">
      <c r="A643" s="9" t="s">
        <v>250</v>
      </c>
      <c r="B643" s="10" t="s">
        <v>60</v>
      </c>
      <c r="C643" s="11">
        <v>45835</v>
      </c>
      <c r="D643" s="12">
        <v>377654</v>
      </c>
      <c r="E643" s="5" t="str">
        <f>_xlfn.XLOOKUP(D643,[1]!Tabela24[Código consultor],[1]!Tabela24[Consultor Venda],0,0,1)</f>
        <v>BKO - CCO - JOSE HENRIQUE TOURINHO DE CARVALHO</v>
      </c>
      <c r="F643" s="5" t="str">
        <f>_xlfn.XLOOKUP(D643,[1]!Tabela24[Código consultor],[1]!Tabela24[Canal Consultor],0,0,1)</f>
        <v>ADM Interno</v>
      </c>
      <c r="G643" s="10" t="str">
        <f>_xlfn.XLOOKUP(B643,[1]!Tabela1[[Cidades ]],[1]!Tabela1[Regional],0,0,1)</f>
        <v>Magno</v>
      </c>
      <c r="H643" s="13" t="str">
        <f>_xlfn.XLOOKUP(B643,[1]!Tabela1[[Cidades ]],[1]!Tabela1[Gerente],0,0,1)</f>
        <v>Demais coordenadores</v>
      </c>
    </row>
    <row r="644" spans="1:8" x14ac:dyDescent="0.3">
      <c r="A644" s="4" t="s">
        <v>263</v>
      </c>
      <c r="B644" s="5" t="s">
        <v>10</v>
      </c>
      <c r="C644" s="6">
        <v>45835</v>
      </c>
      <c r="D644" s="7">
        <v>233138</v>
      </c>
      <c r="E644" s="5" t="str">
        <f>_xlfn.XLOOKUP(D644,[1]!Tabela24[Código consultor],[1]!Tabela24[Consultor Venda],0,0,1)</f>
        <v>PAR - INTE - GRP - MOBILE HD - ALINE KARNOSKI</v>
      </c>
      <c r="F644" s="5" t="str">
        <f>_xlfn.XLOOKUP(D644,[1]!Tabela24[Código consultor],[1]!Tabela24[Canal Consultor],0,0,1)</f>
        <v>PAR</v>
      </c>
      <c r="G644" s="5" t="str">
        <f>_xlfn.XLOOKUP(B644,[1]!Tabela1[[Cidades ]],[1]!Tabela1[Regional],0,0,1)</f>
        <v>Jean</v>
      </c>
      <c r="H644" s="8" t="str">
        <f>_xlfn.XLOOKUP(B644,[1]!Tabela1[[Cidades ]],[1]!Tabela1[Gerente],0,0,1)</f>
        <v>Demais coordenadores</v>
      </c>
    </row>
    <row r="645" spans="1:8" x14ac:dyDescent="0.3">
      <c r="A645" s="9" t="s">
        <v>269</v>
      </c>
      <c r="B645" s="10" t="s">
        <v>16</v>
      </c>
      <c r="C645" s="11">
        <v>45835</v>
      </c>
      <c r="D645" s="12">
        <v>827465</v>
      </c>
      <c r="E645" s="5" t="str">
        <f>_xlfn.XLOOKUP(D645,[1]!Tabela24[Código consultor],[1]!Tabela24[Consultor Venda],0,0,1)</f>
        <v>DIG - ATV - TAINARA RODRIGUES CORDEIRO</v>
      </c>
      <c r="F645" s="5" t="str">
        <f>_xlfn.XLOOKUP(D645,[1]!Tabela24[Código consultor],[1]!Tabela24[Canal Consultor],0,0,1)</f>
        <v>Televendas Ativo</v>
      </c>
      <c r="G645" s="10" t="str">
        <f>_xlfn.XLOOKUP(B645,[1]!Tabela1[[Cidades ]],[1]!Tabela1[Regional],0,0,1)</f>
        <v>Magno</v>
      </c>
      <c r="H645" s="13" t="str">
        <f>_xlfn.XLOOKUP(B645,[1]!Tabela1[[Cidades ]],[1]!Tabela1[Gerente],0,0,1)</f>
        <v>Demais coordenadores</v>
      </c>
    </row>
    <row r="646" spans="1:8" x14ac:dyDescent="0.3">
      <c r="A646" s="4" t="s">
        <v>796</v>
      </c>
      <c r="B646" s="5" t="s">
        <v>25</v>
      </c>
      <c r="C646" s="6">
        <v>45835</v>
      </c>
      <c r="D646" s="7">
        <v>698940</v>
      </c>
      <c r="E646" s="5" t="str">
        <f>_xlfn.XLOOKUP(D646,[1]!Tabela24[Código consultor],[1]!Tabela24[Consultor Venda],0,0,1)</f>
        <v>COM - ADZ - ANDREIA MACHADO DE OLIVEIRA</v>
      </c>
      <c r="F646" s="5" t="str">
        <f>_xlfn.XLOOKUP(D646,[1]!Tabela24[Código consultor],[1]!Tabela24[Canal Consultor],0,0,1)</f>
        <v>INTERNO</v>
      </c>
      <c r="G646" s="5" t="str">
        <f>_xlfn.XLOOKUP(B646,[1]!Tabela1[[Cidades ]],[1]!Tabela1[Regional],0,0,1)</f>
        <v>Maycon</v>
      </c>
      <c r="H646" s="8" t="str">
        <f>_xlfn.XLOOKUP(B646,[1]!Tabela1[[Cidades ]],[1]!Tabela1[Gerente],0,0,1)</f>
        <v>Demais coordenadores</v>
      </c>
    </row>
    <row r="647" spans="1:8" x14ac:dyDescent="0.3">
      <c r="A647" s="9" t="s">
        <v>798</v>
      </c>
      <c r="B647" s="10" t="s">
        <v>30</v>
      </c>
      <c r="C647" s="11">
        <v>45835</v>
      </c>
      <c r="D647" s="12">
        <v>827465</v>
      </c>
      <c r="E647" s="5" t="str">
        <f>_xlfn.XLOOKUP(D647,[1]!Tabela24[Código consultor],[1]!Tabela24[Consultor Venda],0,0,1)</f>
        <v>DIG - ATV - TAINARA RODRIGUES CORDEIRO</v>
      </c>
      <c r="F647" s="5" t="str">
        <f>_xlfn.XLOOKUP(D647,[1]!Tabela24[Código consultor],[1]!Tabela24[Canal Consultor],0,0,1)</f>
        <v>Televendas Ativo</v>
      </c>
      <c r="G647" s="10" t="str">
        <f>_xlfn.XLOOKUP(B647,[1]!Tabela1[[Cidades ]],[1]!Tabela1[Regional],0,0,1)</f>
        <v>Jean</v>
      </c>
      <c r="H647" s="13" t="str">
        <f>_xlfn.XLOOKUP(B647,[1]!Tabela1[[Cidades ]],[1]!Tabela1[Gerente],0,0,1)</f>
        <v>Demais coordenadores</v>
      </c>
    </row>
    <row r="648" spans="1:8" x14ac:dyDescent="0.3">
      <c r="A648" s="4" t="s">
        <v>950</v>
      </c>
      <c r="B648" s="5" t="s">
        <v>77</v>
      </c>
      <c r="C648" s="6">
        <v>45835</v>
      </c>
      <c r="D648" s="7">
        <v>127424</v>
      </c>
      <c r="E648" s="5" t="str">
        <f>_xlfn.XLOOKUP(D648,[1]!Tabela24[Código consultor],[1]!Tabela24[Consultor Venda],0,0,1)</f>
        <v>PAR - COM - BSL - VGI TELECOMUNICAÇÕES - CRISTIANE F VARGAS</v>
      </c>
      <c r="F648" s="5" t="str">
        <f>_xlfn.XLOOKUP(D648,[1]!Tabela24[Código consultor],[1]!Tabela24[Canal Consultor],0,0,1)</f>
        <v>PAR</v>
      </c>
      <c r="G648" s="5" t="str">
        <f>_xlfn.XLOOKUP(B648,[1]!Tabela1[[Cidades ]],[1]!Tabela1[Regional],0,0,1)</f>
        <v>Alisson</v>
      </c>
      <c r="H648" s="8" t="str">
        <f>_xlfn.XLOOKUP(B648,[1]!Tabela1[[Cidades ]],[1]!Tabela1[Gerente],0,0,1)</f>
        <v>Ariana</v>
      </c>
    </row>
    <row r="649" spans="1:8" x14ac:dyDescent="0.3">
      <c r="A649" s="9" t="s">
        <v>272</v>
      </c>
      <c r="B649" s="10" t="s">
        <v>22</v>
      </c>
      <c r="C649" s="11">
        <v>45835</v>
      </c>
      <c r="D649" s="12">
        <v>653931</v>
      </c>
      <c r="E649" s="5" t="str">
        <f>_xlfn.XLOOKUP(D649,[1]!Tabela24[Código consultor],[1]!Tabela24[Consultor Venda],0,0,1)</f>
        <v>COM - CHN - SANTIAGO DA SILVA RODRIGUES</v>
      </c>
      <c r="F649" s="5" t="str">
        <f>_xlfn.XLOOKUP(D649,[1]!Tabela24[Código consultor],[1]!Tabela24[Canal Consultor],0,0,1)</f>
        <v>Pap</v>
      </c>
      <c r="G649" s="10" t="str">
        <f>_xlfn.XLOOKUP(B649,[1]!Tabela1[[Cidades ]],[1]!Tabela1[Regional],0,0,1)</f>
        <v>Magno</v>
      </c>
      <c r="H649" s="13" t="str">
        <f>_xlfn.XLOOKUP(B649,[1]!Tabela1[[Cidades ]],[1]!Tabela1[Gerente],0,0,1)</f>
        <v>Demais coordenadores</v>
      </c>
    </row>
    <row r="650" spans="1:8" x14ac:dyDescent="0.3">
      <c r="A650" s="4" t="s">
        <v>800</v>
      </c>
      <c r="B650" s="5" t="s">
        <v>33</v>
      </c>
      <c r="C650" s="6">
        <v>45835</v>
      </c>
      <c r="D650" s="7">
        <v>785577</v>
      </c>
      <c r="E650" s="5" t="str">
        <f>_xlfn.XLOOKUP(D650,[1]!Tabela24[Código consultor],[1]!Tabela24[Consultor Venda],0,0,1)</f>
        <v>COM - XXE - LUCIA HELENA RAMOS KOTHE</v>
      </c>
      <c r="F650" s="5" t="str">
        <f>_xlfn.XLOOKUP(D650,[1]!Tabela24[Código consultor],[1]!Tabela24[Canal Consultor],0,0,1)</f>
        <v>INTERNO</v>
      </c>
      <c r="G650" s="5" t="str">
        <f>_xlfn.XLOOKUP(B650,[1]!Tabela1[[Cidades ]],[1]!Tabela1[Regional],0,0,1)</f>
        <v>Maycon</v>
      </c>
      <c r="H650" s="8" t="str">
        <f>_xlfn.XLOOKUP(B650,[1]!Tabela1[[Cidades ]],[1]!Tabela1[Gerente],0,0,1)</f>
        <v>Demais coordenadores</v>
      </c>
    </row>
    <row r="651" spans="1:8" x14ac:dyDescent="0.3">
      <c r="A651" s="9" t="s">
        <v>801</v>
      </c>
      <c r="B651" s="10" t="s">
        <v>26</v>
      </c>
      <c r="C651" s="11">
        <v>45835</v>
      </c>
      <c r="D651" s="12">
        <v>882357</v>
      </c>
      <c r="E651" s="5" t="str">
        <f>_xlfn.XLOOKUP(D651,[1]!Tabela24[Código consultor],[1]!Tabela24[Consultor Venda],0,0,1)</f>
        <v>COM - GTI - CESAR ALFREDO MENSCH</v>
      </c>
      <c r="F651" s="5" t="str">
        <f>_xlfn.XLOOKUP(D651,[1]!Tabela24[Código consultor],[1]!Tabela24[Canal Consultor],0,0,1)</f>
        <v>Pap</v>
      </c>
      <c r="G651" s="10" t="str">
        <f>_xlfn.XLOOKUP(B651,[1]!Tabela1[[Cidades ]],[1]!Tabela1[Regional],0,0,1)</f>
        <v>Magno</v>
      </c>
      <c r="H651" s="13" t="str">
        <f>_xlfn.XLOOKUP(B651,[1]!Tabela1[[Cidades ]],[1]!Tabela1[Gerente],0,0,1)</f>
        <v>Demais coordenadores</v>
      </c>
    </row>
    <row r="652" spans="1:8" x14ac:dyDescent="0.3">
      <c r="A652" s="4" t="s">
        <v>802</v>
      </c>
      <c r="B652" s="5" t="s">
        <v>31</v>
      </c>
      <c r="C652" s="6">
        <v>45835</v>
      </c>
      <c r="D652" s="7">
        <v>882331</v>
      </c>
      <c r="E652" s="5" t="str">
        <f>_xlfn.XLOOKUP(D652,[1]!Tabela24[Código consultor],[1]!Tabela24[Consultor Venda],0,0,1)</f>
        <v>DIG - CCO - SABRINA LUIZA BANDEIRA</v>
      </c>
      <c r="F652" s="5" t="str">
        <f>_xlfn.XLOOKUP(D652,[1]!Tabela24[Código consultor],[1]!Tabela24[Canal Consultor],0,0,1)</f>
        <v>DIGITAL</v>
      </c>
      <c r="G652" s="5" t="str">
        <f>_xlfn.XLOOKUP(B652,[1]!Tabela1[[Cidades ]],[1]!Tabela1[Regional],0,0,1)</f>
        <v>Maycon</v>
      </c>
      <c r="H652" s="8" t="str">
        <f>_xlfn.XLOOKUP(B652,[1]!Tabela1[[Cidades ]],[1]!Tabela1[Gerente],0,0,1)</f>
        <v>Demais coordenadores</v>
      </c>
    </row>
    <row r="653" spans="1:8" x14ac:dyDescent="0.3">
      <c r="A653" s="9" t="s">
        <v>803</v>
      </c>
      <c r="B653" s="10" t="s">
        <v>27</v>
      </c>
      <c r="C653" s="11">
        <v>45835</v>
      </c>
      <c r="D653" s="12">
        <v>788656</v>
      </c>
      <c r="E653" s="5" t="str">
        <f>_xlfn.XLOOKUP(D653,[1]!Tabela24[Código consultor],[1]!Tabela24[Consultor Venda],0,0,1)</f>
        <v>PAR - STB - PAP - JOY TELECOM - GABRIELA ALVES DE GODOY</v>
      </c>
      <c r="F653" s="5" t="str">
        <f>_xlfn.XLOOKUP(D653,[1]!Tabela24[Código consultor],[1]!Tabela24[Canal Consultor],0,0,1)</f>
        <v>PAR_DIG</v>
      </c>
      <c r="G653" s="10" t="str">
        <f>_xlfn.XLOOKUP(B653,[1]!Tabela1[[Cidades ]],[1]!Tabela1[Regional],0,0,1)</f>
        <v>Alisson</v>
      </c>
      <c r="H653" s="13" t="str">
        <f>_xlfn.XLOOKUP(B653,[1]!Tabela1[[Cidades ]],[1]!Tabela1[Gerente],0,0,1)</f>
        <v>Tatiane</v>
      </c>
    </row>
    <row r="654" spans="1:8" x14ac:dyDescent="0.3">
      <c r="A654" s="4" t="s">
        <v>804</v>
      </c>
      <c r="B654" s="5" t="s">
        <v>16</v>
      </c>
      <c r="C654" s="6">
        <v>45835</v>
      </c>
      <c r="D654" s="7">
        <v>788656</v>
      </c>
      <c r="E654" s="5" t="str">
        <f>_xlfn.XLOOKUP(D654,[1]!Tabela24[Código consultor],[1]!Tabela24[Consultor Venda],0,0,1)</f>
        <v>PAR - STB - PAP - JOY TELECOM - GABRIELA ALVES DE GODOY</v>
      </c>
      <c r="F654" s="5" t="str">
        <f>_xlfn.XLOOKUP(D654,[1]!Tabela24[Código consultor],[1]!Tabela24[Canal Consultor],0,0,1)</f>
        <v>PAR_DIG</v>
      </c>
      <c r="G654" s="5" t="str">
        <f>_xlfn.XLOOKUP(B654,[1]!Tabela1[[Cidades ]],[1]!Tabela1[Regional],0,0,1)</f>
        <v>Magno</v>
      </c>
      <c r="H654" s="8" t="str">
        <f>_xlfn.XLOOKUP(B654,[1]!Tabela1[[Cidades ]],[1]!Tabela1[Gerente],0,0,1)</f>
        <v>Demais coordenadores</v>
      </c>
    </row>
    <row r="655" spans="1:8" x14ac:dyDescent="0.3">
      <c r="A655" s="9" t="s">
        <v>805</v>
      </c>
      <c r="B655" s="10" t="s">
        <v>31</v>
      </c>
      <c r="C655" s="11">
        <v>45835</v>
      </c>
      <c r="D655" s="12">
        <v>825670</v>
      </c>
      <c r="E655" s="5" t="str">
        <f>_xlfn.XLOOKUP(D655,[1]!Tabela24[Código consultor],[1]!Tabela24[Consultor Venda],0,0,1)</f>
        <v>COM - CCO - STEFANIE GHIDORSI</v>
      </c>
      <c r="F655" s="5" t="str">
        <f>_xlfn.XLOOKUP(D655,[1]!Tabela24[Código consultor],[1]!Tabela24[Canal Consultor],0,0,1)</f>
        <v>Pap</v>
      </c>
      <c r="G655" s="10" t="str">
        <f>_xlfn.XLOOKUP(B655,[1]!Tabela1[[Cidades ]],[1]!Tabela1[Regional],0,0,1)</f>
        <v>Maycon</v>
      </c>
      <c r="H655" s="13" t="str">
        <f>_xlfn.XLOOKUP(B655,[1]!Tabela1[[Cidades ]],[1]!Tabela1[Gerente],0,0,1)</f>
        <v>Demais coordenadores</v>
      </c>
    </row>
    <row r="656" spans="1:8" x14ac:dyDescent="0.3">
      <c r="A656" s="4" t="s">
        <v>806</v>
      </c>
      <c r="B656" s="5" t="s">
        <v>10</v>
      </c>
      <c r="C656" s="6">
        <v>45835</v>
      </c>
      <c r="D656" s="7">
        <v>672394</v>
      </c>
      <c r="E656" s="5" t="str">
        <f>_xlfn.XLOOKUP(D656,[1]!Tabela24[Código consultor],[1]!Tabela24[Consultor Venda],0,0,1)</f>
        <v>O&amp;M - GRP - GES - LEANDRO WIGGERS</v>
      </c>
      <c r="F656" s="5" t="str">
        <f>_xlfn.XLOOKUP(D656,[1]!Tabela24[Código consultor],[1]!Tabela24[Canal Consultor],0,0,1)</f>
        <v>INTERNO</v>
      </c>
      <c r="G656" s="5" t="str">
        <f>_xlfn.XLOOKUP(B656,[1]!Tabela1[[Cidades ]],[1]!Tabela1[Regional],0,0,1)</f>
        <v>Jean</v>
      </c>
      <c r="H656" s="8" t="str">
        <f>_xlfn.XLOOKUP(B656,[1]!Tabela1[[Cidades ]],[1]!Tabela1[Gerente],0,0,1)</f>
        <v>Demais coordenadores</v>
      </c>
    </row>
    <row r="657" spans="1:8" x14ac:dyDescent="0.3">
      <c r="A657" s="9" t="s">
        <v>807</v>
      </c>
      <c r="B657" s="10" t="s">
        <v>11</v>
      </c>
      <c r="C657" s="11">
        <v>45835</v>
      </c>
      <c r="D657" s="12">
        <v>788656</v>
      </c>
      <c r="E657" s="5" t="str">
        <f>_xlfn.XLOOKUP(D657,[1]!Tabela24[Código consultor],[1]!Tabela24[Consultor Venda],0,0,1)</f>
        <v>PAR - STB - PAP - JOY TELECOM - GABRIELA ALVES DE GODOY</v>
      </c>
      <c r="F657" s="5" t="str">
        <f>_xlfn.XLOOKUP(D657,[1]!Tabela24[Código consultor],[1]!Tabela24[Canal Consultor],0,0,1)</f>
        <v>PAR_DIG</v>
      </c>
      <c r="G657" s="10" t="str">
        <f>_xlfn.XLOOKUP(B657,[1]!Tabela1[[Cidades ]],[1]!Tabela1[Regional],0,0,1)</f>
        <v>Magno</v>
      </c>
      <c r="H657" s="13" t="str">
        <f>_xlfn.XLOOKUP(B657,[1]!Tabela1[[Cidades ]],[1]!Tabela1[Gerente],0,0,1)</f>
        <v>Demais coordenadores</v>
      </c>
    </row>
    <row r="658" spans="1:8" x14ac:dyDescent="0.3">
      <c r="A658" s="4" t="s">
        <v>808</v>
      </c>
      <c r="B658" s="5" t="s">
        <v>24</v>
      </c>
      <c r="C658" s="6">
        <v>45835</v>
      </c>
      <c r="D658" s="7">
        <v>876183</v>
      </c>
      <c r="E658" s="5" t="str">
        <f>_xlfn.XLOOKUP(D658,[1]!Tabela24[Código consultor],[1]!Tabela24[Consultor Venda],0,0,1)</f>
        <v>COM - SMA - ANDRE DA SILVA DOS SANTOS</v>
      </c>
      <c r="F658" s="5" t="str">
        <f>_xlfn.XLOOKUP(D658,[1]!Tabela24[Código consultor],[1]!Tabela24[Canal Consultor],0,0,1)</f>
        <v>Pap</v>
      </c>
      <c r="G658" s="5" t="str">
        <f>_xlfn.XLOOKUP(B658,[1]!Tabela1[[Cidades ]],[1]!Tabela1[Regional],0,0,1)</f>
        <v>Magno</v>
      </c>
      <c r="H658" s="8" t="str">
        <f>_xlfn.XLOOKUP(B658,[1]!Tabela1[[Cidades ]],[1]!Tabela1[Gerente],0,0,1)</f>
        <v>Demais coordenadores</v>
      </c>
    </row>
    <row r="659" spans="1:8" x14ac:dyDescent="0.3">
      <c r="A659" s="9" t="s">
        <v>809</v>
      </c>
      <c r="B659" s="10" t="s">
        <v>10</v>
      </c>
      <c r="C659" s="11">
        <v>45835</v>
      </c>
      <c r="D659" s="12">
        <v>788656</v>
      </c>
      <c r="E659" s="5" t="str">
        <f>_xlfn.XLOOKUP(D659,[1]!Tabela24[Código consultor],[1]!Tabela24[Consultor Venda],0,0,1)</f>
        <v>PAR - STB - PAP - JOY TELECOM - GABRIELA ALVES DE GODOY</v>
      </c>
      <c r="F659" s="5" t="str">
        <f>_xlfn.XLOOKUP(D659,[1]!Tabela24[Código consultor],[1]!Tabela24[Canal Consultor],0,0,1)</f>
        <v>PAR_DIG</v>
      </c>
      <c r="G659" s="10" t="str">
        <f>_xlfn.XLOOKUP(B659,[1]!Tabela1[[Cidades ]],[1]!Tabela1[Regional],0,0,1)</f>
        <v>Jean</v>
      </c>
      <c r="H659" s="13" t="str">
        <f>_xlfn.XLOOKUP(B659,[1]!Tabela1[[Cidades ]],[1]!Tabela1[Gerente],0,0,1)</f>
        <v>Demais coordenadores</v>
      </c>
    </row>
    <row r="660" spans="1:8" x14ac:dyDescent="0.3">
      <c r="A660" s="4" t="s">
        <v>810</v>
      </c>
      <c r="B660" s="5" t="s">
        <v>11</v>
      </c>
      <c r="C660" s="6">
        <v>45835</v>
      </c>
      <c r="D660" s="7">
        <v>788656</v>
      </c>
      <c r="E660" s="5" t="str">
        <f>_xlfn.XLOOKUP(D660,[1]!Tabela24[Código consultor],[1]!Tabela24[Consultor Venda],0,0,1)</f>
        <v>PAR - STB - PAP - JOY TELECOM - GABRIELA ALVES DE GODOY</v>
      </c>
      <c r="F660" s="5" t="str">
        <f>_xlfn.XLOOKUP(D660,[1]!Tabela24[Código consultor],[1]!Tabela24[Canal Consultor],0,0,1)</f>
        <v>PAR_DIG</v>
      </c>
      <c r="G660" s="5" t="str">
        <f>_xlfn.XLOOKUP(B660,[1]!Tabela1[[Cidades ]],[1]!Tabela1[Regional],0,0,1)</f>
        <v>Magno</v>
      </c>
      <c r="H660" s="8" t="str">
        <f>_xlfn.XLOOKUP(B660,[1]!Tabela1[[Cidades ]],[1]!Tabela1[Gerente],0,0,1)</f>
        <v>Demais coordenadores</v>
      </c>
    </row>
    <row r="661" spans="1:8" x14ac:dyDescent="0.3">
      <c r="A661" s="9" t="s">
        <v>811</v>
      </c>
      <c r="B661" s="10" t="s">
        <v>16</v>
      </c>
      <c r="C661" s="11">
        <v>45835</v>
      </c>
      <c r="D661" s="12">
        <v>788656</v>
      </c>
      <c r="E661" s="5" t="str">
        <f>_xlfn.XLOOKUP(D661,[1]!Tabela24[Código consultor],[1]!Tabela24[Consultor Venda],0,0,1)</f>
        <v>PAR - STB - PAP - JOY TELECOM - GABRIELA ALVES DE GODOY</v>
      </c>
      <c r="F661" s="5" t="str">
        <f>_xlfn.XLOOKUP(D661,[1]!Tabela24[Código consultor],[1]!Tabela24[Canal Consultor],0,0,1)</f>
        <v>PAR_DIG</v>
      </c>
      <c r="G661" s="10" t="str">
        <f>_xlfn.XLOOKUP(B661,[1]!Tabela1[[Cidades ]],[1]!Tabela1[Regional],0,0,1)</f>
        <v>Magno</v>
      </c>
      <c r="H661" s="13" t="str">
        <f>_xlfn.XLOOKUP(B661,[1]!Tabela1[[Cidades ]],[1]!Tabela1[Gerente],0,0,1)</f>
        <v>Demais coordenadores</v>
      </c>
    </row>
    <row r="662" spans="1:8" x14ac:dyDescent="0.3">
      <c r="A662" s="4" t="s">
        <v>951</v>
      </c>
      <c r="B662" s="5" t="s">
        <v>23</v>
      </c>
      <c r="C662" s="6">
        <v>45835</v>
      </c>
      <c r="D662" s="7">
        <v>858832</v>
      </c>
      <c r="E662" s="5" t="str">
        <f>_xlfn.XLOOKUP(D662,[1]!Tabela24[Código consultor],[1]!Tabela24[Consultor Venda],0,0,1)</f>
        <v>COM - CAN - RAYSSA RIBEIRO CRISOSTOMO BENJAMIM</v>
      </c>
      <c r="F662" s="5" t="str">
        <f>_xlfn.XLOOKUP(D662,[1]!Tabela24[Código consultor],[1]!Tabela24[Canal Consultor],0,0,1)</f>
        <v>Pap</v>
      </c>
      <c r="G662" s="5" t="str">
        <f>_xlfn.XLOOKUP(B662,[1]!Tabela1[[Cidades ]],[1]!Tabela1[Regional],0,0,1)</f>
        <v>Magno</v>
      </c>
      <c r="H662" s="8" t="str">
        <f>_xlfn.XLOOKUP(B662,[1]!Tabela1[[Cidades ]],[1]!Tabela1[Gerente],0,0,1)</f>
        <v>Demais coordenadores</v>
      </c>
    </row>
    <row r="663" spans="1:8" x14ac:dyDescent="0.3">
      <c r="A663" s="9" t="s">
        <v>952</v>
      </c>
      <c r="B663" s="10" t="s">
        <v>75</v>
      </c>
      <c r="C663" s="11">
        <v>45835</v>
      </c>
      <c r="D663" s="12">
        <v>878249</v>
      </c>
      <c r="E663" s="5" t="str">
        <f>_xlfn.XLOOKUP(D663,[1]!Tabela24[Código consultor],[1]!Tabela24[Consultor Venda],0,0,1)</f>
        <v>COM - LJO - ELTON RODRIGO DA SILVA GONCALVES</v>
      </c>
      <c r="F663" s="5" t="str">
        <f>_xlfn.XLOOKUP(D663,[1]!Tabela24[Código consultor],[1]!Tabela24[Canal Consultor],0,0,1)</f>
        <v>Pap</v>
      </c>
      <c r="G663" s="10" t="str">
        <f>_xlfn.XLOOKUP(B663,[1]!Tabela1[[Cidades ]],[1]!Tabela1[Regional],0,0,1)</f>
        <v>Magno</v>
      </c>
      <c r="H663" s="13" t="str">
        <f>_xlfn.XLOOKUP(B663,[1]!Tabela1[[Cidades ]],[1]!Tabela1[Gerente],0,0,1)</f>
        <v>Demais coordenadores</v>
      </c>
    </row>
    <row r="664" spans="1:8" x14ac:dyDescent="0.3">
      <c r="A664" s="4" t="s">
        <v>813</v>
      </c>
      <c r="B664" s="5" t="s">
        <v>10</v>
      </c>
      <c r="C664" s="6">
        <v>45835</v>
      </c>
      <c r="D664" s="7">
        <v>525458</v>
      </c>
      <c r="E664" s="5" t="str">
        <f>_xlfn.XLOOKUP(D664,[1]!Tabela24[Código consultor],[1]!Tabela24[Consultor Venda],0,0,1)</f>
        <v>PAR - ADM - GRP - FIGUEREDO MOBILE  - JOSELIO O. P. JUNIOR</v>
      </c>
      <c r="F664" s="5" t="str">
        <f>_xlfn.XLOOKUP(D664,[1]!Tabela24[Código consultor],[1]!Tabela24[Canal Consultor],0,0,1)</f>
        <v>PAR</v>
      </c>
      <c r="G664" s="5" t="str">
        <f>_xlfn.XLOOKUP(B664,[1]!Tabela1[[Cidades ]],[1]!Tabela1[Regional],0,0,1)</f>
        <v>Jean</v>
      </c>
      <c r="H664" s="8" t="str">
        <f>_xlfn.XLOOKUP(B664,[1]!Tabela1[[Cidades ]],[1]!Tabela1[Gerente],0,0,1)</f>
        <v>Demais coordenadores</v>
      </c>
    </row>
    <row r="665" spans="1:8" x14ac:dyDescent="0.3">
      <c r="A665" s="9" t="s">
        <v>814</v>
      </c>
      <c r="B665" s="10" t="s">
        <v>32</v>
      </c>
      <c r="C665" s="11">
        <v>45835</v>
      </c>
      <c r="D665" s="12">
        <v>829353</v>
      </c>
      <c r="E665" s="5" t="str">
        <f>_xlfn.XLOOKUP(D665,[1]!Tabela24[Código consultor],[1]!Tabela24[Consultor Venda],0,0,1)</f>
        <v>COM - IGA - KARL EDUARDO MORAES DE ALMEIDA</v>
      </c>
      <c r="F665" s="5" t="str">
        <f>_xlfn.XLOOKUP(D665,[1]!Tabela24[Código consultor],[1]!Tabela24[Canal Consultor],0,0,1)</f>
        <v>Pap</v>
      </c>
      <c r="G665" s="10" t="str">
        <f>_xlfn.XLOOKUP(B665,[1]!Tabela1[[Cidades ]],[1]!Tabela1[Regional],0,0,1)</f>
        <v>Jean</v>
      </c>
      <c r="H665" s="13" t="str">
        <f>_xlfn.XLOOKUP(B665,[1]!Tabela1[[Cidades ]],[1]!Tabela1[Gerente],0,0,1)</f>
        <v>Demais coordenadores</v>
      </c>
    </row>
    <row r="666" spans="1:8" x14ac:dyDescent="0.3">
      <c r="A666" s="4" t="s">
        <v>815</v>
      </c>
      <c r="B666" s="5" t="s">
        <v>10</v>
      </c>
      <c r="C666" s="6">
        <v>45835</v>
      </c>
      <c r="D666" s="7">
        <v>617463</v>
      </c>
      <c r="E666" s="5" t="str">
        <f>_xlfn.XLOOKUP(D666,[1]!Tabela24[Código consultor],[1]!Tabela24[Consultor Venda],0,0,1)</f>
        <v>DIG - CCO - ALEX AUGUSTO DA CRUZ RODRIGUES</v>
      </c>
      <c r="F666" s="5" t="str">
        <f>_xlfn.XLOOKUP(D666,[1]!Tabela24[Código consultor],[1]!Tabela24[Canal Consultor],0,0,1)</f>
        <v>DIGITAL</v>
      </c>
      <c r="G666" s="5" t="str">
        <f>_xlfn.XLOOKUP(B666,[1]!Tabela1[[Cidades ]],[1]!Tabela1[Regional],0,0,1)</f>
        <v>Jean</v>
      </c>
      <c r="H666" s="8" t="str">
        <f>_xlfn.XLOOKUP(B666,[1]!Tabela1[[Cidades ]],[1]!Tabela1[Gerente],0,0,1)</f>
        <v>Demais coordenadores</v>
      </c>
    </row>
    <row r="667" spans="1:8" x14ac:dyDescent="0.3">
      <c r="A667" s="9" t="s">
        <v>816</v>
      </c>
      <c r="B667" s="10" t="s">
        <v>34</v>
      </c>
      <c r="C667" s="11">
        <v>45835</v>
      </c>
      <c r="D667" s="12">
        <v>794227</v>
      </c>
      <c r="E667" s="5" t="str">
        <f>_xlfn.XLOOKUP(D667,[1]!Tabela24[Código consultor],[1]!Tabela24[Consultor Venda],0,0,1)</f>
        <v>PAR - PAP - TECH PERFORMANCE - Dario de Oliveira</v>
      </c>
      <c r="F667" s="5" t="str">
        <f>_xlfn.XLOOKUP(D667,[1]!Tabela24[Código consultor],[1]!Tabela24[Canal Consultor],0,0,1)</f>
        <v>Par</v>
      </c>
      <c r="G667" s="10" t="str">
        <f>_xlfn.XLOOKUP(B667,[1]!Tabela1[[Cidades ]],[1]!Tabela1[Regional],0,0,1)</f>
        <v>Alisson</v>
      </c>
      <c r="H667" s="13" t="str">
        <f>_xlfn.XLOOKUP(B667,[1]!Tabela1[[Cidades ]],[1]!Tabela1[Gerente],0,0,1)</f>
        <v>Karine</v>
      </c>
    </row>
    <row r="668" spans="1:8" x14ac:dyDescent="0.3">
      <c r="A668" s="4" t="s">
        <v>817</v>
      </c>
      <c r="B668" s="5" t="s">
        <v>37</v>
      </c>
      <c r="C668" s="6">
        <v>45835</v>
      </c>
      <c r="D668" s="7">
        <v>600710</v>
      </c>
      <c r="E668" s="5" t="str">
        <f>_xlfn.XLOOKUP(D668,[1]!Tabela24[Código consultor],[1]!Tabela24[Consultor Venda],0,0,1)</f>
        <v>DIG - CCO - BRUNA BALBINOTTI</v>
      </c>
      <c r="F668" s="5" t="str">
        <f>_xlfn.XLOOKUP(D668,[1]!Tabela24[Código consultor],[1]!Tabela24[Canal Consultor],0,0,1)</f>
        <v>DIGITAL</v>
      </c>
      <c r="G668" s="5" t="str">
        <f>_xlfn.XLOOKUP(B668,[1]!Tabela1[[Cidades ]],[1]!Tabela1[Regional],0,0,1)</f>
        <v>Jean</v>
      </c>
      <c r="H668" s="8" t="str">
        <f>_xlfn.XLOOKUP(B668,[1]!Tabela1[[Cidades ]],[1]!Tabela1[Gerente],0,0,1)</f>
        <v>Demais coordenadores</v>
      </c>
    </row>
    <row r="669" spans="1:8" x14ac:dyDescent="0.3">
      <c r="A669" s="9" t="s">
        <v>818</v>
      </c>
      <c r="B669" s="10" t="s">
        <v>31</v>
      </c>
      <c r="C669" s="11">
        <v>45835</v>
      </c>
      <c r="D669" s="12">
        <v>788656</v>
      </c>
      <c r="E669" s="5" t="str">
        <f>_xlfn.XLOOKUP(D669,[1]!Tabela24[Código consultor],[1]!Tabela24[Consultor Venda],0,0,1)</f>
        <v>PAR - STB - PAP - JOY TELECOM - GABRIELA ALVES DE GODOY</v>
      </c>
      <c r="F669" s="5" t="str">
        <f>_xlfn.XLOOKUP(D669,[1]!Tabela24[Código consultor],[1]!Tabela24[Canal Consultor],0,0,1)</f>
        <v>PAR_DIG</v>
      </c>
      <c r="G669" s="10" t="str">
        <f>_xlfn.XLOOKUP(B669,[1]!Tabela1[[Cidades ]],[1]!Tabela1[Regional],0,0,1)</f>
        <v>Maycon</v>
      </c>
      <c r="H669" s="13" t="str">
        <f>_xlfn.XLOOKUP(B669,[1]!Tabela1[[Cidades ]],[1]!Tabela1[Gerente],0,0,1)</f>
        <v>Demais coordenadores</v>
      </c>
    </row>
    <row r="670" spans="1:8" x14ac:dyDescent="0.3">
      <c r="A670" s="4" t="s">
        <v>819</v>
      </c>
      <c r="B670" s="5" t="s">
        <v>32</v>
      </c>
      <c r="C670" s="6">
        <v>45835</v>
      </c>
      <c r="D670" s="7">
        <v>788656</v>
      </c>
      <c r="E670" s="5" t="str">
        <f>_xlfn.XLOOKUP(D670,[1]!Tabela24[Código consultor],[1]!Tabela24[Consultor Venda],0,0,1)</f>
        <v>PAR - STB - PAP - JOY TELECOM - GABRIELA ALVES DE GODOY</v>
      </c>
      <c r="F670" s="5" t="str">
        <f>_xlfn.XLOOKUP(D670,[1]!Tabela24[Código consultor],[1]!Tabela24[Canal Consultor],0,0,1)</f>
        <v>PAR_DIG</v>
      </c>
      <c r="G670" s="5" t="str">
        <f>_xlfn.XLOOKUP(B670,[1]!Tabela1[[Cidades ]],[1]!Tabela1[Regional],0,0,1)</f>
        <v>Jean</v>
      </c>
      <c r="H670" s="8" t="str">
        <f>_xlfn.XLOOKUP(B670,[1]!Tabela1[[Cidades ]],[1]!Tabela1[Gerente],0,0,1)</f>
        <v>Demais coordenadores</v>
      </c>
    </row>
    <row r="671" spans="1:8" x14ac:dyDescent="0.3">
      <c r="A671" s="9" t="s">
        <v>820</v>
      </c>
      <c r="B671" s="10" t="s">
        <v>23</v>
      </c>
      <c r="C671" s="11">
        <v>45835</v>
      </c>
      <c r="D671" s="12">
        <v>880152</v>
      </c>
      <c r="E671" s="5" t="str">
        <f>_xlfn.XLOOKUP(D671,[1]!Tabela24[Código consultor],[1]!Tabela24[Consultor Venda],0,0,1)</f>
        <v>COM - CAN - JHULIANA FREITAS SCHMACHTENBERG</v>
      </c>
      <c r="F671" s="5" t="str">
        <f>_xlfn.XLOOKUP(D671,[1]!Tabela24[Código consultor],[1]!Tabela24[Canal Consultor],0,0,1)</f>
        <v>INTERNO</v>
      </c>
      <c r="G671" s="10" t="str">
        <f>_xlfn.XLOOKUP(B671,[1]!Tabela1[[Cidades ]],[1]!Tabela1[Regional],0,0,1)</f>
        <v>Magno</v>
      </c>
      <c r="H671" s="13" t="str">
        <f>_xlfn.XLOOKUP(B671,[1]!Tabela1[[Cidades ]],[1]!Tabela1[Gerente],0,0,1)</f>
        <v>Demais coordenadores</v>
      </c>
    </row>
    <row r="672" spans="1:8" x14ac:dyDescent="0.3">
      <c r="A672" s="4" t="s">
        <v>821</v>
      </c>
      <c r="B672" s="5" t="s">
        <v>31</v>
      </c>
      <c r="C672" s="6">
        <v>45835</v>
      </c>
      <c r="D672" s="7">
        <v>788656</v>
      </c>
      <c r="E672" s="5" t="str">
        <f>_xlfn.XLOOKUP(D672,[1]!Tabela24[Código consultor],[1]!Tabela24[Consultor Venda],0,0,1)</f>
        <v>PAR - STB - PAP - JOY TELECOM - GABRIELA ALVES DE GODOY</v>
      </c>
      <c r="F672" s="5" t="str">
        <f>_xlfn.XLOOKUP(D672,[1]!Tabela24[Código consultor],[1]!Tabela24[Canal Consultor],0,0,1)</f>
        <v>PAR_DIG</v>
      </c>
      <c r="G672" s="5" t="str">
        <f>_xlfn.XLOOKUP(B672,[1]!Tabela1[[Cidades ]],[1]!Tabela1[Regional],0,0,1)</f>
        <v>Maycon</v>
      </c>
      <c r="H672" s="8" t="str">
        <f>_xlfn.XLOOKUP(B672,[1]!Tabela1[[Cidades ]],[1]!Tabela1[Gerente],0,0,1)</f>
        <v>Demais coordenadores</v>
      </c>
    </row>
    <row r="673" spans="1:8" x14ac:dyDescent="0.3">
      <c r="A673" s="9" t="s">
        <v>822</v>
      </c>
      <c r="B673" s="10" t="s">
        <v>31</v>
      </c>
      <c r="C673" s="11">
        <v>45835</v>
      </c>
      <c r="D673" s="12">
        <v>600710</v>
      </c>
      <c r="E673" s="5" t="str">
        <f>_xlfn.XLOOKUP(D673,[1]!Tabela24[Código consultor],[1]!Tabela24[Consultor Venda],0,0,1)</f>
        <v>DIG - CCO - BRUNA BALBINOTTI</v>
      </c>
      <c r="F673" s="5" t="str">
        <f>_xlfn.XLOOKUP(D673,[1]!Tabela24[Código consultor],[1]!Tabela24[Canal Consultor],0,0,1)</f>
        <v>DIGITAL</v>
      </c>
      <c r="G673" s="10" t="str">
        <f>_xlfn.XLOOKUP(B673,[1]!Tabela1[[Cidades ]],[1]!Tabela1[Regional],0,0,1)</f>
        <v>Maycon</v>
      </c>
      <c r="H673" s="13" t="str">
        <f>_xlfn.XLOOKUP(B673,[1]!Tabela1[[Cidades ]],[1]!Tabela1[Gerente],0,0,1)</f>
        <v>Demais coordenadores</v>
      </c>
    </row>
    <row r="674" spans="1:8" x14ac:dyDescent="0.3">
      <c r="A674" s="4" t="s">
        <v>823</v>
      </c>
      <c r="B674" s="5" t="s">
        <v>10</v>
      </c>
      <c r="C674" s="6">
        <v>45835</v>
      </c>
      <c r="D674" s="7">
        <v>525458</v>
      </c>
      <c r="E674" s="5" t="str">
        <f>_xlfn.XLOOKUP(D674,[1]!Tabela24[Código consultor],[1]!Tabela24[Consultor Venda],0,0,1)</f>
        <v>PAR - ADM - GRP - FIGUEREDO MOBILE  - JOSELIO O. P. JUNIOR</v>
      </c>
      <c r="F674" s="5" t="str">
        <f>_xlfn.XLOOKUP(D674,[1]!Tabela24[Código consultor],[1]!Tabela24[Canal Consultor],0,0,1)</f>
        <v>PAR</v>
      </c>
      <c r="G674" s="5" t="str">
        <f>_xlfn.XLOOKUP(B674,[1]!Tabela1[[Cidades ]],[1]!Tabela1[Regional],0,0,1)</f>
        <v>Jean</v>
      </c>
      <c r="H674" s="8" t="str">
        <f>_xlfn.XLOOKUP(B674,[1]!Tabela1[[Cidades ]],[1]!Tabela1[Gerente],0,0,1)</f>
        <v>Demais coordenadores</v>
      </c>
    </row>
    <row r="675" spans="1:8" x14ac:dyDescent="0.3">
      <c r="A675" s="9" t="s">
        <v>953</v>
      </c>
      <c r="B675" s="10" t="s">
        <v>11</v>
      </c>
      <c r="C675" s="11">
        <v>45835</v>
      </c>
      <c r="D675" s="12">
        <v>788656</v>
      </c>
      <c r="E675" s="5" t="str">
        <f>_xlfn.XLOOKUP(D675,[1]!Tabela24[Código consultor],[1]!Tabela24[Consultor Venda],0,0,1)</f>
        <v>PAR - STB - PAP - JOY TELECOM - GABRIELA ALVES DE GODOY</v>
      </c>
      <c r="F675" s="5" t="str">
        <f>_xlfn.XLOOKUP(D675,[1]!Tabela24[Código consultor],[1]!Tabela24[Canal Consultor],0,0,1)</f>
        <v>PAR_DIG</v>
      </c>
      <c r="G675" s="10" t="str">
        <f>_xlfn.XLOOKUP(B675,[1]!Tabela1[[Cidades ]],[1]!Tabela1[Regional],0,0,1)</f>
        <v>Magno</v>
      </c>
      <c r="H675" s="13" t="str">
        <f>_xlfn.XLOOKUP(B675,[1]!Tabela1[[Cidades ]],[1]!Tabela1[Gerente],0,0,1)</f>
        <v>Demais coordenadores</v>
      </c>
    </row>
    <row r="676" spans="1:8" x14ac:dyDescent="0.3">
      <c r="A676" s="4" t="s">
        <v>751</v>
      </c>
      <c r="B676" s="5" t="s">
        <v>39</v>
      </c>
      <c r="C676" s="6">
        <v>45835</v>
      </c>
      <c r="D676" s="7">
        <v>547570</v>
      </c>
      <c r="E676" s="5" t="str">
        <f>_xlfn.XLOOKUP(D676,[1]!Tabela24[Código consultor],[1]!Tabela24[Consultor Venda],0,0,1)</f>
        <v>COM - LGS - ISABEL CRISTINA RODRIGUES DE JESUS</v>
      </c>
      <c r="F676" s="5" t="str">
        <f>_xlfn.XLOOKUP(D676,[1]!Tabela24[Código consultor],[1]!Tabela24[Canal Consultor],0,0,1)</f>
        <v>INTERNO</v>
      </c>
      <c r="G676" s="5" t="str">
        <f>_xlfn.XLOOKUP(B676,[1]!Tabela1[[Cidades ]],[1]!Tabela1[Regional],0,0,1)</f>
        <v>Marcio</v>
      </c>
      <c r="H676" s="8" t="str">
        <f>_xlfn.XLOOKUP(B676,[1]!Tabela1[[Cidades ]],[1]!Tabela1[Gerente],0,0,1)</f>
        <v>Demais coordenadores</v>
      </c>
    </row>
    <row r="677" spans="1:8" x14ac:dyDescent="0.3">
      <c r="A677" s="9" t="s">
        <v>954</v>
      </c>
      <c r="B677" s="10" t="s">
        <v>32</v>
      </c>
      <c r="C677" s="11">
        <v>45835</v>
      </c>
      <c r="D677" s="12">
        <v>576121</v>
      </c>
      <c r="E677" s="5" t="str">
        <f>_xlfn.XLOOKUP(D677,[1]!Tabela24[Código consultor],[1]!Tabela24[Consultor Venda],0,0,1)</f>
        <v>COM - IGA - LEONARDO XAVIER GOMES</v>
      </c>
      <c r="F677" s="5" t="str">
        <f>_xlfn.XLOOKUP(D677,[1]!Tabela24[Código consultor],[1]!Tabela24[Canal Consultor],0,0,1)</f>
        <v>Pap</v>
      </c>
      <c r="G677" s="10" t="str">
        <f>_xlfn.XLOOKUP(B677,[1]!Tabela1[[Cidades ]],[1]!Tabela1[Regional],0,0,1)</f>
        <v>Jean</v>
      </c>
      <c r="H677" s="13" t="str">
        <f>_xlfn.XLOOKUP(B677,[1]!Tabela1[[Cidades ]],[1]!Tabela1[Gerente],0,0,1)</f>
        <v>Demais coordenadores</v>
      </c>
    </row>
    <row r="678" spans="1:8" x14ac:dyDescent="0.3">
      <c r="A678" s="4" t="s">
        <v>825</v>
      </c>
      <c r="B678" s="5" t="s">
        <v>12</v>
      </c>
      <c r="C678" s="6">
        <v>45835</v>
      </c>
      <c r="D678" s="7">
        <v>795531</v>
      </c>
      <c r="E678" s="5" t="str">
        <f>_xlfn.XLOOKUP(D678,[1]!Tabela24[Código consultor],[1]!Tabela24[Consultor Venda],0,0,1)</f>
        <v>PAR - PAP - MUNDIALE - Nátale Bianca Oliveira De Paula</v>
      </c>
      <c r="F678" s="5" t="str">
        <f>_xlfn.XLOOKUP(D678,[1]!Tabela24[Código consultor],[1]!Tabela24[Canal Consultor],0,0,1)</f>
        <v>PAR_DIG</v>
      </c>
      <c r="G678" s="5" t="str">
        <f>_xlfn.XLOOKUP(B678,[1]!Tabela1[[Cidades ]],[1]!Tabela1[Regional],0,0,1)</f>
        <v>Jean</v>
      </c>
      <c r="H678" s="8" t="str">
        <f>_xlfn.XLOOKUP(B678,[1]!Tabela1[[Cidades ]],[1]!Tabela1[Gerente],0,0,1)</f>
        <v>Demais coordenadores</v>
      </c>
    </row>
    <row r="679" spans="1:8" x14ac:dyDescent="0.3">
      <c r="A679" s="9" t="s">
        <v>955</v>
      </c>
      <c r="B679" s="10" t="s">
        <v>44</v>
      </c>
      <c r="C679" s="11">
        <v>45835</v>
      </c>
      <c r="D679" s="12">
        <v>860321</v>
      </c>
      <c r="E679" s="5" t="str">
        <f>_xlfn.XLOOKUP(D679,[1]!Tabela24[Código consultor],[1]!Tabela24[Consultor Venda],0,0,1)</f>
        <v>COM - IRI - MATHEUS TAVARES</v>
      </c>
      <c r="F679" s="5" t="str">
        <f>_xlfn.XLOOKUP(D679,[1]!Tabela24[Código consultor],[1]!Tabela24[Canal Consultor],0,0,1)</f>
        <v>Pap</v>
      </c>
      <c r="G679" s="10" t="str">
        <f>_xlfn.XLOOKUP(B679,[1]!Tabela1[[Cidades ]],[1]!Tabela1[Regional],0,0,1)</f>
        <v>Jean</v>
      </c>
      <c r="H679" s="13" t="str">
        <f>_xlfn.XLOOKUP(B679,[1]!Tabela1[[Cidades ]],[1]!Tabela1[Gerente],0,0,1)</f>
        <v>Demais coordenadores</v>
      </c>
    </row>
    <row r="680" spans="1:8" x14ac:dyDescent="0.3">
      <c r="A680" s="4" t="s">
        <v>826</v>
      </c>
      <c r="B680" s="5" t="s">
        <v>24</v>
      </c>
      <c r="C680" s="6">
        <v>45835</v>
      </c>
      <c r="D680" s="7">
        <v>197832</v>
      </c>
      <c r="E680" s="5" t="str">
        <f>_xlfn.XLOOKUP(D680,[1]!Tabela24[Código consultor],[1]!Tabela24[Consultor Venda],0,0,1)</f>
        <v>DIG - CCO - RAIANE BERGAMIN</v>
      </c>
      <c r="F680" s="5" t="str">
        <f>_xlfn.XLOOKUP(D680,[1]!Tabela24[Código consultor],[1]!Tabela24[Canal Consultor],0,0,1)</f>
        <v>DIGITAL</v>
      </c>
      <c r="G680" s="5" t="str">
        <f>_xlfn.XLOOKUP(B680,[1]!Tabela1[[Cidades ]],[1]!Tabela1[Regional],0,0,1)</f>
        <v>Magno</v>
      </c>
      <c r="H680" s="8" t="str">
        <f>_xlfn.XLOOKUP(B680,[1]!Tabela1[[Cidades ]],[1]!Tabela1[Gerente],0,0,1)</f>
        <v>Demais coordenadores</v>
      </c>
    </row>
    <row r="681" spans="1:8" x14ac:dyDescent="0.3">
      <c r="A681" s="9" t="s">
        <v>827</v>
      </c>
      <c r="B681" s="10" t="s">
        <v>53</v>
      </c>
      <c r="C681" s="11">
        <v>45835</v>
      </c>
      <c r="D681" s="12">
        <v>827465</v>
      </c>
      <c r="E681" s="5" t="str">
        <f>_xlfn.XLOOKUP(D681,[1]!Tabela24[Código consultor],[1]!Tabela24[Consultor Venda],0,0,1)</f>
        <v>DIG - ATV - TAINARA RODRIGUES CORDEIRO</v>
      </c>
      <c r="F681" s="5" t="str">
        <f>_xlfn.XLOOKUP(D681,[1]!Tabela24[Código consultor],[1]!Tabela24[Canal Consultor],0,0,1)</f>
        <v>Televendas Ativo</v>
      </c>
      <c r="G681" s="10" t="str">
        <f>_xlfn.XLOOKUP(B681,[1]!Tabela1[[Cidades ]],[1]!Tabela1[Regional],0,0,1)</f>
        <v>Adilson</v>
      </c>
      <c r="H681" s="13" t="str">
        <f>_xlfn.XLOOKUP(B681,[1]!Tabela1[[Cidades ]],[1]!Tabela1[Gerente],0,0,1)</f>
        <v>Demais coordenadores</v>
      </c>
    </row>
    <row r="682" spans="1:8" x14ac:dyDescent="0.3">
      <c r="A682" s="4" t="s">
        <v>828</v>
      </c>
      <c r="B682" s="5" t="s">
        <v>60</v>
      </c>
      <c r="C682" s="6">
        <v>45835</v>
      </c>
      <c r="D682" s="7">
        <v>851292</v>
      </c>
      <c r="E682" s="5" t="str">
        <f>_xlfn.XLOOKUP(D682,[1]!Tabela24[Código consultor],[1]!Tabela24[Consultor Venda],0,0,1)</f>
        <v>COM - CHN - GABRIELLI PORTAL PACHECO</v>
      </c>
      <c r="F682" s="5" t="str">
        <f>_xlfn.XLOOKUP(D682,[1]!Tabela24[Código consultor],[1]!Tabela24[Canal Consultor],0,0,1)</f>
        <v>INTERNO</v>
      </c>
      <c r="G682" s="5" t="str">
        <f>_xlfn.XLOOKUP(B682,[1]!Tabela1[[Cidades ]],[1]!Tabela1[Regional],0,0,1)</f>
        <v>Magno</v>
      </c>
      <c r="H682" s="8" t="str">
        <f>_xlfn.XLOOKUP(B682,[1]!Tabela1[[Cidades ]],[1]!Tabela1[Gerente],0,0,1)</f>
        <v>Demais coordenadores</v>
      </c>
    </row>
    <row r="683" spans="1:8" x14ac:dyDescent="0.3">
      <c r="A683" s="9" t="s">
        <v>830</v>
      </c>
      <c r="B683" s="10" t="s">
        <v>19</v>
      </c>
      <c r="C683" s="11">
        <v>45835</v>
      </c>
      <c r="D683" s="12">
        <v>788656</v>
      </c>
      <c r="E683" s="5" t="str">
        <f>_xlfn.XLOOKUP(D683,[1]!Tabela24[Código consultor],[1]!Tabela24[Consultor Venda],0,0,1)</f>
        <v>PAR - STB - PAP - JOY TELECOM - GABRIELA ALVES DE GODOY</v>
      </c>
      <c r="F683" s="5" t="str">
        <f>_xlfn.XLOOKUP(D683,[1]!Tabela24[Código consultor],[1]!Tabela24[Canal Consultor],0,0,1)</f>
        <v>PAR_DIG</v>
      </c>
      <c r="G683" s="10" t="str">
        <f>_xlfn.XLOOKUP(B683,[1]!Tabela1[[Cidades ]],[1]!Tabela1[Regional],0,0,1)</f>
        <v>Magno</v>
      </c>
      <c r="H683" s="13" t="str">
        <f>_xlfn.XLOOKUP(B683,[1]!Tabela1[[Cidades ]],[1]!Tabela1[Gerente],0,0,1)</f>
        <v>Demais coordenadores</v>
      </c>
    </row>
    <row r="684" spans="1:8" x14ac:dyDescent="0.3">
      <c r="A684" s="4" t="s">
        <v>831</v>
      </c>
      <c r="B684" s="5" t="s">
        <v>12</v>
      </c>
      <c r="C684" s="6">
        <v>45835</v>
      </c>
      <c r="D684" s="7">
        <v>788656</v>
      </c>
      <c r="E684" s="5" t="str">
        <f>_xlfn.XLOOKUP(D684,[1]!Tabela24[Código consultor],[1]!Tabela24[Consultor Venda],0,0,1)</f>
        <v>PAR - STB - PAP - JOY TELECOM - GABRIELA ALVES DE GODOY</v>
      </c>
      <c r="F684" s="5" t="str">
        <f>_xlfn.XLOOKUP(D684,[1]!Tabela24[Código consultor],[1]!Tabela24[Canal Consultor],0,0,1)</f>
        <v>PAR_DIG</v>
      </c>
      <c r="G684" s="5" t="str">
        <f>_xlfn.XLOOKUP(B684,[1]!Tabela1[[Cidades ]],[1]!Tabela1[Regional],0,0,1)</f>
        <v>Jean</v>
      </c>
      <c r="H684" s="8" t="str">
        <f>_xlfn.XLOOKUP(B684,[1]!Tabela1[[Cidades ]],[1]!Tabela1[Gerente],0,0,1)</f>
        <v>Demais coordenadores</v>
      </c>
    </row>
    <row r="685" spans="1:8" x14ac:dyDescent="0.3">
      <c r="A685" s="9" t="s">
        <v>832</v>
      </c>
      <c r="B685" s="10" t="s">
        <v>44</v>
      </c>
      <c r="C685" s="11">
        <v>45835</v>
      </c>
      <c r="D685" s="12">
        <v>860321</v>
      </c>
      <c r="E685" s="5" t="str">
        <f>_xlfn.XLOOKUP(D685,[1]!Tabela24[Código consultor],[1]!Tabela24[Consultor Venda],0,0,1)</f>
        <v>COM - IRI - MATHEUS TAVARES</v>
      </c>
      <c r="F685" s="5" t="str">
        <f>_xlfn.XLOOKUP(D685,[1]!Tabela24[Código consultor],[1]!Tabela24[Canal Consultor],0,0,1)</f>
        <v>Pap</v>
      </c>
      <c r="G685" s="10" t="str">
        <f>_xlfn.XLOOKUP(B685,[1]!Tabela1[[Cidades ]],[1]!Tabela1[Regional],0,0,1)</f>
        <v>Jean</v>
      </c>
      <c r="H685" s="13" t="str">
        <f>_xlfn.XLOOKUP(B685,[1]!Tabela1[[Cidades ]],[1]!Tabela1[Gerente],0,0,1)</f>
        <v>Demais coordenadores</v>
      </c>
    </row>
    <row r="686" spans="1:8" x14ac:dyDescent="0.3">
      <c r="A686" s="4" t="s">
        <v>833</v>
      </c>
      <c r="B686" s="5" t="s">
        <v>88</v>
      </c>
      <c r="C686" s="6">
        <v>45835</v>
      </c>
      <c r="D686" s="7">
        <v>874055</v>
      </c>
      <c r="E686" s="5" t="str">
        <f>_xlfn.XLOOKUP(D686,[1]!Tabela24[Código consultor],[1]!Tabela24[Consultor Venda],0,0,1)</f>
        <v>COM - CUA - RAFAEL ROSA ROQUE</v>
      </c>
      <c r="F686" s="5" t="str">
        <f>_xlfn.XLOOKUP(D686,[1]!Tabela24[Código consultor],[1]!Tabela24[Canal Consultor],0,0,1)</f>
        <v>Pap</v>
      </c>
      <c r="G686" s="5" t="str">
        <f>_xlfn.XLOOKUP(B686,[1]!Tabela1[[Cidades ]],[1]!Tabela1[Regional],0,0,1)</f>
        <v>Marcio</v>
      </c>
      <c r="H686" s="8" t="str">
        <f>_xlfn.XLOOKUP(B686,[1]!Tabela1[[Cidades ]],[1]!Tabela1[Gerente],0,0,1)</f>
        <v>Demais coordenadores</v>
      </c>
    </row>
    <row r="687" spans="1:8" x14ac:dyDescent="0.3">
      <c r="A687" s="9" t="s">
        <v>834</v>
      </c>
      <c r="B687" s="10" t="s">
        <v>11</v>
      </c>
      <c r="C687" s="11">
        <v>45835</v>
      </c>
      <c r="D687" s="12">
        <v>683349</v>
      </c>
      <c r="E687" s="5" t="str">
        <f>_xlfn.XLOOKUP(D687,[1]!Tabela24[Código consultor],[1]!Tabela24[Consultor Venda],0,0,1)</f>
        <v>DIG - CCO - EVELLIN SALOA MAIA DA CONCEICAO</v>
      </c>
      <c r="F687" s="5" t="str">
        <f>_xlfn.XLOOKUP(D687,[1]!Tabela24[Código consultor],[1]!Tabela24[Canal Consultor],0,0,1)</f>
        <v>DIGITAL</v>
      </c>
      <c r="G687" s="10" t="str">
        <f>_xlfn.XLOOKUP(B687,[1]!Tabela1[[Cidades ]],[1]!Tabela1[Regional],0,0,1)</f>
        <v>Magno</v>
      </c>
      <c r="H687" s="13" t="str">
        <f>_xlfn.XLOOKUP(B687,[1]!Tabela1[[Cidades ]],[1]!Tabela1[Gerente],0,0,1)</f>
        <v>Demais coordenadores</v>
      </c>
    </row>
    <row r="688" spans="1:8" x14ac:dyDescent="0.3">
      <c r="A688" s="4" t="s">
        <v>956</v>
      </c>
      <c r="B688" s="5" t="s">
        <v>65</v>
      </c>
      <c r="C688" s="6">
        <v>45835</v>
      </c>
      <c r="D688" s="7">
        <v>683063</v>
      </c>
      <c r="E688" s="5" t="str">
        <f>_xlfn.XLOOKUP(D688,[1]!Tabela24[Código consultor],[1]!Tabela24[Consultor Venda],0,0,1)</f>
        <v>COM - CUA - BRUNO MANOEL DO NASCIMENTO</v>
      </c>
      <c r="F688" s="5" t="str">
        <f>_xlfn.XLOOKUP(D688,[1]!Tabela24[Código consultor],[1]!Tabela24[Canal Consultor],0,0,1)</f>
        <v>Pap</v>
      </c>
      <c r="G688" s="5" t="str">
        <f>_xlfn.XLOOKUP(B688,[1]!Tabela1[[Cidades ]],[1]!Tabela1[Regional],0,0,1)</f>
        <v>Marcio</v>
      </c>
      <c r="H688" s="8" t="str">
        <f>_xlfn.XLOOKUP(B688,[1]!Tabela1[[Cidades ]],[1]!Tabela1[Gerente],0,0,1)</f>
        <v>Demais coordenadores</v>
      </c>
    </row>
    <row r="689" spans="1:8" x14ac:dyDescent="0.3">
      <c r="A689" s="9" t="s">
        <v>835</v>
      </c>
      <c r="B689" s="10" t="s">
        <v>10</v>
      </c>
      <c r="C689" s="11">
        <v>45835</v>
      </c>
      <c r="D689" s="12">
        <v>794227</v>
      </c>
      <c r="E689" s="5" t="str">
        <f>_xlfn.XLOOKUP(D689,[1]!Tabela24[Código consultor],[1]!Tabela24[Consultor Venda],0,0,1)</f>
        <v>PAR - PAP - TECH PERFORMANCE - Dario de Oliveira</v>
      </c>
      <c r="F689" s="5" t="str">
        <f>_xlfn.XLOOKUP(D689,[1]!Tabela24[Código consultor],[1]!Tabela24[Canal Consultor],0,0,1)</f>
        <v>Par</v>
      </c>
      <c r="G689" s="10" t="str">
        <f>_xlfn.XLOOKUP(B689,[1]!Tabela1[[Cidades ]],[1]!Tabela1[Regional],0,0,1)</f>
        <v>Jean</v>
      </c>
      <c r="H689" s="13" t="str">
        <f>_xlfn.XLOOKUP(B689,[1]!Tabela1[[Cidades ]],[1]!Tabela1[Gerente],0,0,1)</f>
        <v>Demais coordenadores</v>
      </c>
    </row>
    <row r="690" spans="1:8" x14ac:dyDescent="0.3">
      <c r="A690" s="4" t="s">
        <v>836</v>
      </c>
      <c r="B690" s="5" t="s">
        <v>22</v>
      </c>
      <c r="C690" s="6">
        <v>45835</v>
      </c>
      <c r="D690" s="7">
        <v>197832</v>
      </c>
      <c r="E690" s="5" t="str">
        <f>_xlfn.XLOOKUP(D690,[1]!Tabela24[Código consultor],[1]!Tabela24[Consultor Venda],0,0,1)</f>
        <v>DIG - CCO - RAIANE BERGAMIN</v>
      </c>
      <c r="F690" s="5" t="str">
        <f>_xlfn.XLOOKUP(D690,[1]!Tabela24[Código consultor],[1]!Tabela24[Canal Consultor],0,0,1)</f>
        <v>DIGITAL</v>
      </c>
      <c r="G690" s="5" t="str">
        <f>_xlfn.XLOOKUP(B690,[1]!Tabela1[[Cidades ]],[1]!Tabela1[Regional],0,0,1)</f>
        <v>Magno</v>
      </c>
      <c r="H690" s="8" t="str">
        <f>_xlfn.XLOOKUP(B690,[1]!Tabela1[[Cidades ]],[1]!Tabela1[Gerente],0,0,1)</f>
        <v>Demais coordenadores</v>
      </c>
    </row>
    <row r="691" spans="1:8" x14ac:dyDescent="0.3">
      <c r="A691" s="9" t="s">
        <v>837</v>
      </c>
      <c r="B691" s="10" t="s">
        <v>10</v>
      </c>
      <c r="C691" s="11">
        <v>45835</v>
      </c>
      <c r="D691" s="12">
        <v>525458</v>
      </c>
      <c r="E691" s="5" t="str">
        <f>_xlfn.XLOOKUP(D691,[1]!Tabela24[Código consultor],[1]!Tabela24[Consultor Venda],0,0,1)</f>
        <v>PAR - ADM - GRP - FIGUEREDO MOBILE  - JOSELIO O. P. JUNIOR</v>
      </c>
      <c r="F691" s="5" t="str">
        <f>_xlfn.XLOOKUP(D691,[1]!Tabela24[Código consultor],[1]!Tabela24[Canal Consultor],0,0,1)</f>
        <v>PAR</v>
      </c>
      <c r="G691" s="10" t="str">
        <f>_xlfn.XLOOKUP(B691,[1]!Tabela1[[Cidades ]],[1]!Tabela1[Regional],0,0,1)</f>
        <v>Jean</v>
      </c>
      <c r="H691" s="13" t="str">
        <f>_xlfn.XLOOKUP(B691,[1]!Tabela1[[Cidades ]],[1]!Tabela1[Gerente],0,0,1)</f>
        <v>Demais coordenadores</v>
      </c>
    </row>
    <row r="692" spans="1:8" x14ac:dyDescent="0.3">
      <c r="A692" s="4" t="s">
        <v>838</v>
      </c>
      <c r="B692" s="5" t="s">
        <v>79</v>
      </c>
      <c r="C692" s="6">
        <v>45835</v>
      </c>
      <c r="D692" s="7">
        <v>361</v>
      </c>
      <c r="E692" s="5" t="str">
        <f>_xlfn.XLOOKUP(D692,[1]!Tabela24[Código consultor],[1]!Tabela24[Consultor Venda],0,0,1)</f>
        <v>COM - LVH - DANIELA DE ALMEIDA</v>
      </c>
      <c r="F692" s="5" t="str">
        <f>_xlfn.XLOOKUP(D692,[1]!Tabela24[Código consultor],[1]!Tabela24[Canal Consultor],0,0,1)</f>
        <v>INTERNO</v>
      </c>
      <c r="G692" s="5" t="str">
        <f>_xlfn.XLOOKUP(B692,[1]!Tabela1[[Cidades ]],[1]!Tabela1[Regional],0,0,1)</f>
        <v>Alisson</v>
      </c>
      <c r="H692" s="8" t="str">
        <f>_xlfn.XLOOKUP(B692,[1]!Tabela1[[Cidades ]],[1]!Tabela1[Gerente],0,0,1)</f>
        <v>Tatiane</v>
      </c>
    </row>
    <row r="693" spans="1:8" x14ac:dyDescent="0.3">
      <c r="A693" s="9" t="s">
        <v>840</v>
      </c>
      <c r="B693" s="10" t="s">
        <v>74</v>
      </c>
      <c r="C693" s="11">
        <v>45835</v>
      </c>
      <c r="D693" s="12">
        <v>687168</v>
      </c>
      <c r="E693" s="5" t="str">
        <f>_xlfn.XLOOKUP(D693,[1]!Tabela24[Código consultor],[1]!Tabela24[Consultor Venda],0,0,1)</f>
        <v>COM - SSL - PAMELA BUGAY KUPZIK</v>
      </c>
      <c r="F693" s="5" t="str">
        <f>_xlfn.XLOOKUP(D693,[1]!Tabela24[Código consultor],[1]!Tabela24[Canal Consultor],0,0,1)</f>
        <v>INTERNO</v>
      </c>
      <c r="G693" s="10" t="str">
        <f>_xlfn.XLOOKUP(B693,[1]!Tabela1[[Cidades ]],[1]!Tabela1[Regional],0,0,1)</f>
        <v>Jean</v>
      </c>
      <c r="H693" s="13" t="str">
        <f>_xlfn.XLOOKUP(B693,[1]!Tabela1[[Cidades ]],[1]!Tabela1[Gerente],0,0,1)</f>
        <v>Demais coordenadores</v>
      </c>
    </row>
    <row r="694" spans="1:8" x14ac:dyDescent="0.3">
      <c r="A694" s="4" t="s">
        <v>841</v>
      </c>
      <c r="B694" s="5" t="s">
        <v>81</v>
      </c>
      <c r="C694" s="6">
        <v>45835</v>
      </c>
      <c r="D694" s="7">
        <v>485228</v>
      </c>
      <c r="E694" s="5" t="str">
        <f>_xlfn.XLOOKUP(D694,[1]!Tabela24[Código consultor],[1]!Tabela24[Consultor Venda],0,0,1)</f>
        <v>COM - UMR - RAFAEL BAZZANELA CARDOSO DE SOUZA</v>
      </c>
      <c r="F694" s="5" t="str">
        <f>_xlfn.XLOOKUP(D694,[1]!Tabela24[Código consultor],[1]!Tabela24[Canal Consultor],0,0,1)</f>
        <v>INTERNO</v>
      </c>
      <c r="G694" s="5" t="str">
        <f>_xlfn.XLOOKUP(B694,[1]!Tabela1[[Cidades ]],[1]!Tabela1[Regional],0,0,1)</f>
        <v>Adilson</v>
      </c>
      <c r="H694" s="8" t="str">
        <f>_xlfn.XLOOKUP(B694,[1]!Tabela1[[Cidades ]],[1]!Tabela1[Gerente],0,0,1)</f>
        <v>Demais coordenadores</v>
      </c>
    </row>
    <row r="695" spans="1:8" x14ac:dyDescent="0.3">
      <c r="A695" s="9" t="s">
        <v>957</v>
      </c>
      <c r="B695" s="10" t="s">
        <v>13</v>
      </c>
      <c r="C695" s="11">
        <v>45835</v>
      </c>
      <c r="D695" s="12">
        <v>600710</v>
      </c>
      <c r="E695" s="5" t="str">
        <f>_xlfn.XLOOKUP(D695,[1]!Tabela24[Código consultor],[1]!Tabela24[Consultor Venda],0,0,1)</f>
        <v>DIG - CCO - BRUNA BALBINOTTI</v>
      </c>
      <c r="F695" s="5" t="str">
        <f>_xlfn.XLOOKUP(D695,[1]!Tabela24[Código consultor],[1]!Tabela24[Canal Consultor],0,0,1)</f>
        <v>DIGITAL</v>
      </c>
      <c r="G695" s="10" t="str">
        <f>_xlfn.XLOOKUP(B695,[1]!Tabela1[[Cidades ]],[1]!Tabela1[Regional],0,0,1)</f>
        <v>Alisson</v>
      </c>
      <c r="H695" s="13" t="str">
        <f>_xlfn.XLOOKUP(B695,[1]!Tabela1[[Cidades ]],[1]!Tabela1[Gerente],0,0,1)</f>
        <v>Ariana</v>
      </c>
    </row>
    <row r="696" spans="1:8" x14ac:dyDescent="0.3">
      <c r="A696" s="4" t="s">
        <v>842</v>
      </c>
      <c r="B696" s="5" t="s">
        <v>60</v>
      </c>
      <c r="C696" s="6">
        <v>45835</v>
      </c>
      <c r="D696" s="7">
        <v>197832</v>
      </c>
      <c r="E696" s="5" t="str">
        <f>_xlfn.XLOOKUP(D696,[1]!Tabela24[Código consultor],[1]!Tabela24[Consultor Venda],0,0,1)</f>
        <v>DIG - CCO - RAIANE BERGAMIN</v>
      </c>
      <c r="F696" s="5" t="str">
        <f>_xlfn.XLOOKUP(D696,[1]!Tabela24[Código consultor],[1]!Tabela24[Canal Consultor],0,0,1)</f>
        <v>DIGITAL</v>
      </c>
      <c r="G696" s="5" t="str">
        <f>_xlfn.XLOOKUP(B696,[1]!Tabela1[[Cidades ]],[1]!Tabela1[Regional],0,0,1)</f>
        <v>Magno</v>
      </c>
      <c r="H696" s="8" t="str">
        <f>_xlfn.XLOOKUP(B696,[1]!Tabela1[[Cidades ]],[1]!Tabela1[Gerente],0,0,1)</f>
        <v>Demais coordenadores</v>
      </c>
    </row>
    <row r="697" spans="1:8" x14ac:dyDescent="0.3">
      <c r="A697" s="9" t="s">
        <v>843</v>
      </c>
      <c r="B697" s="10" t="s">
        <v>22</v>
      </c>
      <c r="C697" s="11">
        <v>45835</v>
      </c>
      <c r="D697" s="12">
        <v>716615</v>
      </c>
      <c r="E697" s="5" t="str">
        <f>_xlfn.XLOOKUP(D697,[1]!Tabela24[Código consultor],[1]!Tabela24[Consultor Venda],0,0,1)</f>
        <v>COM - SCR - MARCO ANTONIO NUNES DOS SANTOS</v>
      </c>
      <c r="F697" s="5" t="str">
        <f>_xlfn.XLOOKUP(D697,[1]!Tabela24[Código consultor],[1]!Tabela24[Canal Consultor],0,0,1)</f>
        <v>Pap</v>
      </c>
      <c r="G697" s="10" t="str">
        <f>_xlfn.XLOOKUP(B697,[1]!Tabela1[[Cidades ]],[1]!Tabela1[Regional],0,0,1)</f>
        <v>Magno</v>
      </c>
      <c r="H697" s="13" t="str">
        <f>_xlfn.XLOOKUP(B697,[1]!Tabela1[[Cidades ]],[1]!Tabela1[Gerente],0,0,1)</f>
        <v>Demais coordenadores</v>
      </c>
    </row>
    <row r="698" spans="1:8" x14ac:dyDescent="0.3">
      <c r="A698" s="4" t="s">
        <v>844</v>
      </c>
      <c r="B698" s="5" t="s">
        <v>56</v>
      </c>
      <c r="C698" s="6">
        <v>45835</v>
      </c>
      <c r="D698" s="7">
        <v>828092</v>
      </c>
      <c r="E698" s="5" t="str">
        <f>_xlfn.XLOOKUP(D698,[1]!Tabela24[Código consultor],[1]!Tabela24[Consultor Venda],0,0,1)</f>
        <v>COM - NVG - ADELAIDE LIZZIE MARQUES</v>
      </c>
      <c r="F698" s="5" t="str">
        <f>_xlfn.XLOOKUP(D698,[1]!Tabela24[Código consultor],[1]!Tabela24[Canal Consultor],0,0,1)</f>
        <v>INTERNO</v>
      </c>
      <c r="G698" s="5" t="str">
        <f>_xlfn.XLOOKUP(B698,[1]!Tabela1[[Cidades ]],[1]!Tabela1[Regional],0,0,1)</f>
        <v>Marcio</v>
      </c>
      <c r="H698" s="8" t="str">
        <f>_xlfn.XLOOKUP(B698,[1]!Tabela1[[Cidades ]],[1]!Tabela1[Gerente],0,0,1)</f>
        <v>Demais coordenadores</v>
      </c>
    </row>
    <row r="699" spans="1:8" x14ac:dyDescent="0.3">
      <c r="A699" s="9" t="s">
        <v>233</v>
      </c>
      <c r="B699" s="10" t="s">
        <v>39</v>
      </c>
      <c r="C699" s="11">
        <v>45835</v>
      </c>
      <c r="D699" s="12">
        <v>788656</v>
      </c>
      <c r="E699" s="5" t="str">
        <f>_xlfn.XLOOKUP(D699,[1]!Tabela24[Código consultor],[1]!Tabela24[Consultor Venda],0,0,1)</f>
        <v>PAR - STB - PAP - JOY TELECOM - GABRIELA ALVES DE GODOY</v>
      </c>
      <c r="F699" s="5" t="str">
        <f>_xlfn.XLOOKUP(D699,[1]!Tabela24[Código consultor],[1]!Tabela24[Canal Consultor],0,0,1)</f>
        <v>PAR_DIG</v>
      </c>
      <c r="G699" s="10" t="str">
        <f>_xlfn.XLOOKUP(B699,[1]!Tabela1[[Cidades ]],[1]!Tabela1[Regional],0,0,1)</f>
        <v>Marcio</v>
      </c>
      <c r="H699" s="13" t="str">
        <f>_xlfn.XLOOKUP(B699,[1]!Tabela1[[Cidades ]],[1]!Tabela1[Gerente],0,0,1)</f>
        <v>Demais coordenadores</v>
      </c>
    </row>
    <row r="700" spans="1:8" x14ac:dyDescent="0.3">
      <c r="A700" s="4" t="s">
        <v>845</v>
      </c>
      <c r="B700" s="5" t="s">
        <v>119</v>
      </c>
      <c r="C700" s="6">
        <v>45835</v>
      </c>
      <c r="D700" s="7">
        <v>336158</v>
      </c>
      <c r="E700" s="5" t="str">
        <f>_xlfn.XLOOKUP(D700,[1]!Tabela24[Código consultor],[1]!Tabela24[Consultor Venda],0,0,1)</f>
        <v>COM- TOO - MARISA MENDES DE NEVES</v>
      </c>
      <c r="F700" s="5" t="str">
        <f>_xlfn.XLOOKUP(D700,[1]!Tabela24[Código consultor],[1]!Tabela24[Canal Consultor],0,0,1)</f>
        <v>INTERNO</v>
      </c>
      <c r="G700" s="5" t="str">
        <f>_xlfn.XLOOKUP(B700,[1]!Tabela1[[Cidades ]],[1]!Tabela1[Regional],0,0,1)</f>
        <v>Adilson</v>
      </c>
      <c r="H700" s="8" t="str">
        <f>_xlfn.XLOOKUP(B700,[1]!Tabela1[[Cidades ]],[1]!Tabela1[Gerente],0,0,1)</f>
        <v>Demais coordenadores</v>
      </c>
    </row>
    <row r="701" spans="1:8" x14ac:dyDescent="0.3">
      <c r="A701" s="9" t="s">
        <v>181</v>
      </c>
      <c r="B701" s="10" t="s">
        <v>10</v>
      </c>
      <c r="C701" s="11">
        <v>45835</v>
      </c>
      <c r="D701" s="12">
        <v>197832</v>
      </c>
      <c r="E701" s="5" t="str">
        <f>_xlfn.XLOOKUP(D701,[1]!Tabela24[Código consultor],[1]!Tabela24[Consultor Venda],0,0,1)</f>
        <v>DIG - CCO - RAIANE BERGAMIN</v>
      </c>
      <c r="F701" s="5" t="str">
        <f>_xlfn.XLOOKUP(D701,[1]!Tabela24[Código consultor],[1]!Tabela24[Canal Consultor],0,0,1)</f>
        <v>DIGITAL</v>
      </c>
      <c r="G701" s="10" t="str">
        <f>_xlfn.XLOOKUP(B701,[1]!Tabela1[[Cidades ]],[1]!Tabela1[Regional],0,0,1)</f>
        <v>Jean</v>
      </c>
      <c r="H701" s="13" t="str">
        <f>_xlfn.XLOOKUP(B701,[1]!Tabela1[[Cidades ]],[1]!Tabela1[Gerente],0,0,1)</f>
        <v>Demais coordenadores</v>
      </c>
    </row>
    <row r="702" spans="1:8" x14ac:dyDescent="0.3">
      <c r="A702" s="4" t="s">
        <v>847</v>
      </c>
      <c r="B702" s="5" t="s">
        <v>24</v>
      </c>
      <c r="C702" s="6">
        <v>45835</v>
      </c>
      <c r="D702" s="7">
        <v>877649</v>
      </c>
      <c r="E702" s="5" t="str">
        <f>_xlfn.XLOOKUP(D702,[1]!Tabela24[Código consultor],[1]!Tabela24[Consultor Venda],0,0,1)</f>
        <v>COM - SMA - NIKOLAS GUTERRES COMIN</v>
      </c>
      <c r="F702" s="5" t="str">
        <f>_xlfn.XLOOKUP(D702,[1]!Tabela24[Código consultor],[1]!Tabela24[Canal Consultor],0,0,1)</f>
        <v>Pap</v>
      </c>
      <c r="G702" s="5" t="str">
        <f>_xlfn.XLOOKUP(B702,[1]!Tabela1[[Cidades ]],[1]!Tabela1[Regional],0,0,1)</f>
        <v>Magno</v>
      </c>
      <c r="H702" s="8" t="str">
        <f>_xlfn.XLOOKUP(B702,[1]!Tabela1[[Cidades ]],[1]!Tabela1[Gerente],0,0,1)</f>
        <v>Demais coordenadores</v>
      </c>
    </row>
    <row r="703" spans="1:8" x14ac:dyDescent="0.3">
      <c r="A703" s="9" t="s">
        <v>848</v>
      </c>
      <c r="B703" s="10" t="s">
        <v>47</v>
      </c>
      <c r="C703" s="11">
        <v>45835</v>
      </c>
      <c r="D703" s="12">
        <v>600710</v>
      </c>
      <c r="E703" s="5" t="str">
        <f>_xlfn.XLOOKUP(D703,[1]!Tabela24[Código consultor],[1]!Tabela24[Consultor Venda],0,0,1)</f>
        <v>DIG - CCO - BRUNA BALBINOTTI</v>
      </c>
      <c r="F703" s="5" t="str">
        <f>_xlfn.XLOOKUP(D703,[1]!Tabela24[Código consultor],[1]!Tabela24[Canal Consultor],0,0,1)</f>
        <v>DIGITAL</v>
      </c>
      <c r="G703" s="10" t="str">
        <f>_xlfn.XLOOKUP(B703,[1]!Tabela1[[Cidades ]],[1]!Tabela1[Regional],0,0,1)</f>
        <v>Magno</v>
      </c>
      <c r="H703" s="13" t="str">
        <f>_xlfn.XLOOKUP(B703,[1]!Tabela1[[Cidades ]],[1]!Tabela1[Gerente],0,0,1)</f>
        <v>Demais coordenadores</v>
      </c>
    </row>
    <row r="704" spans="1:8" x14ac:dyDescent="0.3">
      <c r="A704" s="4" t="s">
        <v>849</v>
      </c>
      <c r="B704" s="5" t="s">
        <v>60</v>
      </c>
      <c r="C704" s="6">
        <v>45835</v>
      </c>
      <c r="D704" s="7">
        <v>873883</v>
      </c>
      <c r="E704" s="5" t="str">
        <f>_xlfn.XLOOKUP(D704,[1]!Tabela24[Código consultor],[1]!Tabela24[Consultor Venda],0,0,1)</f>
        <v>PAR - TER - GTI - M.A MARTINS TELECOM LTDA</v>
      </c>
      <c r="F704" s="5" t="str">
        <f>_xlfn.XLOOKUP(D704,[1]!Tabela24[Código consultor],[1]!Tabela24[Canal Consultor],0,0,1)</f>
        <v>Par</v>
      </c>
      <c r="G704" s="5" t="str">
        <f>_xlfn.XLOOKUP(B704,[1]!Tabela1[[Cidades ]],[1]!Tabela1[Regional],0,0,1)</f>
        <v>Magno</v>
      </c>
      <c r="H704" s="8" t="str">
        <f>_xlfn.XLOOKUP(B704,[1]!Tabela1[[Cidades ]],[1]!Tabela1[Gerente],0,0,1)</f>
        <v>Demais coordenadores</v>
      </c>
    </row>
    <row r="705" spans="1:8" x14ac:dyDescent="0.3">
      <c r="A705" s="9" t="s">
        <v>958</v>
      </c>
      <c r="B705" s="10" t="s">
        <v>42</v>
      </c>
      <c r="C705" s="11">
        <v>45835</v>
      </c>
      <c r="D705" s="12">
        <v>836541</v>
      </c>
      <c r="E705" s="5" t="str">
        <f>_xlfn.XLOOKUP(D705,[1]!Tabela24[Código consultor],[1]!Tabela24[Consultor Venda],0,0,1)</f>
        <v>COM - CDA - SARA DA SILVA LESSE</v>
      </c>
      <c r="F705" s="5" t="str">
        <f>_xlfn.XLOOKUP(D705,[1]!Tabela24[Código consultor],[1]!Tabela24[Canal Consultor],0,0,1)</f>
        <v>INTERNO</v>
      </c>
      <c r="G705" s="10" t="str">
        <f>_xlfn.XLOOKUP(B705,[1]!Tabela1[[Cidades ]],[1]!Tabela1[Regional],0,0,1)</f>
        <v>Maycon</v>
      </c>
      <c r="H705" s="13" t="str">
        <f>_xlfn.XLOOKUP(B705,[1]!Tabela1[[Cidades ]],[1]!Tabela1[Gerente],0,0,1)</f>
        <v>Demais coordenadores</v>
      </c>
    </row>
    <row r="706" spans="1:8" x14ac:dyDescent="0.3">
      <c r="A706" s="4" t="s">
        <v>852</v>
      </c>
      <c r="B706" s="5" t="s">
        <v>32</v>
      </c>
      <c r="C706" s="6">
        <v>45835</v>
      </c>
      <c r="D706" s="7">
        <v>797768</v>
      </c>
      <c r="E706" s="5" t="str">
        <f>_xlfn.XLOOKUP(D706,[1]!Tabela24[Código consultor],[1]!Tabela24[Consultor Venda],0,0,1)</f>
        <v>PAR - PAP - MVH - DIGITAL SUL - BRUNA SANTANA DE OLIVEIRA</v>
      </c>
      <c r="F706" s="5" t="str">
        <f>_xlfn.XLOOKUP(D706,[1]!Tabela24[Código consultor],[1]!Tabela24[Canal Consultor],0,0,1)</f>
        <v>PAR_DIG</v>
      </c>
      <c r="G706" s="5" t="str">
        <f>_xlfn.XLOOKUP(B706,[1]!Tabela1[[Cidades ]],[1]!Tabela1[Regional],0,0,1)</f>
        <v>Jean</v>
      </c>
      <c r="H706" s="8" t="str">
        <f>_xlfn.XLOOKUP(B706,[1]!Tabela1[[Cidades ]],[1]!Tabela1[Gerente],0,0,1)</f>
        <v>Demais coordenadores</v>
      </c>
    </row>
    <row r="707" spans="1:8" x14ac:dyDescent="0.3">
      <c r="A707" s="9" t="s">
        <v>854</v>
      </c>
      <c r="B707" s="10" t="s">
        <v>64</v>
      </c>
      <c r="C707" s="11">
        <v>45835</v>
      </c>
      <c r="D707" s="12">
        <v>619784</v>
      </c>
      <c r="E707" s="5" t="str">
        <f>_xlfn.XLOOKUP(D707,[1]!Tabela24[Código consultor],[1]!Tabela24[Consultor Venda],0,0,1)</f>
        <v>COM - TEB - SUELEN DE FATIMA DO AMARAL</v>
      </c>
      <c r="F707" s="5" t="str">
        <f>_xlfn.XLOOKUP(D707,[1]!Tabela24[Código consultor],[1]!Tabela24[Canal Consultor],0,0,1)</f>
        <v>INTERNO</v>
      </c>
      <c r="G707" s="10" t="str">
        <f>_xlfn.XLOOKUP(B707,[1]!Tabela1[[Cidades ]],[1]!Tabela1[Regional],0,0,1)</f>
        <v>Jean</v>
      </c>
      <c r="H707" s="13" t="str">
        <f>_xlfn.XLOOKUP(B707,[1]!Tabela1[[Cidades ]],[1]!Tabela1[Gerente],0,0,1)</f>
        <v>Demais coordenadores</v>
      </c>
    </row>
    <row r="708" spans="1:8" x14ac:dyDescent="0.3">
      <c r="A708" s="4" t="s">
        <v>959</v>
      </c>
      <c r="B708" s="5" t="s">
        <v>59</v>
      </c>
      <c r="C708" s="6">
        <v>45835</v>
      </c>
      <c r="D708" s="7">
        <v>738880</v>
      </c>
      <c r="E708" s="5" t="str">
        <f>_xlfn.XLOOKUP(D708,[1]!Tabela24[Código consultor],[1]!Tabela24[Consultor Venda],0,0,1)</f>
        <v>PAR - PAP - MUNDIALE - ANA LUIZA COUTO MATIAS</v>
      </c>
      <c r="F708" s="5" t="str">
        <f>_xlfn.XLOOKUP(D708,[1]!Tabela24[Código consultor],[1]!Tabela24[Canal Consultor],0,0,1)</f>
        <v>PAR_DIG</v>
      </c>
      <c r="G708" s="5" t="str">
        <f>_xlfn.XLOOKUP(B708,[1]!Tabela1[[Cidades ]],[1]!Tabela1[Regional],0,0,1)</f>
        <v>Adilson</v>
      </c>
      <c r="H708" s="8" t="str">
        <f>_xlfn.XLOOKUP(B708,[1]!Tabela1[[Cidades ]],[1]!Tabela1[Gerente],0,0,1)</f>
        <v>Demais coordenadores</v>
      </c>
    </row>
    <row r="709" spans="1:8" x14ac:dyDescent="0.3">
      <c r="A709" s="9" t="s">
        <v>856</v>
      </c>
      <c r="B709" s="10" t="s">
        <v>47</v>
      </c>
      <c r="C709" s="11">
        <v>45835</v>
      </c>
      <c r="D709" s="12">
        <v>873652</v>
      </c>
      <c r="E709" s="5" t="str">
        <f>_xlfn.XLOOKUP(D709,[1]!Tabela24[Código consultor],[1]!Tabela24[Consultor Venda],0,0,1)</f>
        <v>COM - VAI - KAREN NUNES SANHUDO</v>
      </c>
      <c r="F709" s="5" t="str">
        <f>_xlfn.XLOOKUP(D709,[1]!Tabela24[Código consultor],[1]!Tabela24[Canal Consultor],0,0,1)</f>
        <v>INTERNO</v>
      </c>
      <c r="G709" s="10" t="str">
        <f>_xlfn.XLOOKUP(B709,[1]!Tabela1[[Cidades ]],[1]!Tabela1[Regional],0,0,1)</f>
        <v>Magno</v>
      </c>
      <c r="H709" s="13" t="str">
        <f>_xlfn.XLOOKUP(B709,[1]!Tabela1[[Cidades ]],[1]!Tabela1[Gerente],0,0,1)</f>
        <v>Demais coordenadores</v>
      </c>
    </row>
    <row r="710" spans="1:8" x14ac:dyDescent="0.3">
      <c r="A710" s="4" t="s">
        <v>857</v>
      </c>
      <c r="B710" s="5" t="s">
        <v>19</v>
      </c>
      <c r="C710" s="6">
        <v>45835</v>
      </c>
      <c r="D710" s="7">
        <v>868672</v>
      </c>
      <c r="E710" s="5" t="str">
        <f>_xlfn.XLOOKUP(D710,[1]!Tabela24[Código consultor],[1]!Tabela24[Consultor Venda],0,0,1)</f>
        <v>COM - CHN - KEVIN FELIPE RODRIGUES DA SILVA LOPES</v>
      </c>
      <c r="F710" s="5" t="str">
        <f>_xlfn.XLOOKUP(D710,[1]!Tabela24[Código consultor],[1]!Tabela24[Canal Consultor],0,0,1)</f>
        <v>Pap</v>
      </c>
      <c r="G710" s="5" t="str">
        <f>_xlfn.XLOOKUP(B710,[1]!Tabela1[[Cidades ]],[1]!Tabela1[Regional],0,0,1)</f>
        <v>Magno</v>
      </c>
      <c r="H710" s="8" t="str">
        <f>_xlfn.XLOOKUP(B710,[1]!Tabela1[[Cidades ]],[1]!Tabela1[Gerente],0,0,1)</f>
        <v>Demais coordenadores</v>
      </c>
    </row>
    <row r="711" spans="1:8" x14ac:dyDescent="0.3">
      <c r="A711" s="9" t="s">
        <v>858</v>
      </c>
      <c r="B711" s="10" t="s">
        <v>32</v>
      </c>
      <c r="C711" s="11">
        <v>45835</v>
      </c>
      <c r="D711" s="12">
        <v>885453</v>
      </c>
      <c r="E711" s="5" t="str">
        <f>_xlfn.XLOOKUP(D711,[1]!Tabela24[Código consultor],[1]!Tabela24[Consultor Venda],0,0,1)</f>
        <v>COM - IGA - EMILY PRISCILA BRAZ VIANA</v>
      </c>
      <c r="F711" s="5" t="str">
        <f>_xlfn.XLOOKUP(D711,[1]!Tabela24[Código consultor],[1]!Tabela24[Canal Consultor],0,0,1)</f>
        <v>Pap</v>
      </c>
      <c r="G711" s="10" t="str">
        <f>_xlfn.XLOOKUP(B711,[1]!Tabela1[[Cidades ]],[1]!Tabela1[Regional],0,0,1)</f>
        <v>Jean</v>
      </c>
      <c r="H711" s="13" t="str">
        <f>_xlfn.XLOOKUP(B711,[1]!Tabela1[[Cidades ]],[1]!Tabela1[Gerente],0,0,1)</f>
        <v>Demais coordenadores</v>
      </c>
    </row>
    <row r="712" spans="1:8" x14ac:dyDescent="0.3">
      <c r="A712" s="4" t="s">
        <v>859</v>
      </c>
      <c r="B712" s="5" t="s">
        <v>81</v>
      </c>
      <c r="C712" s="6">
        <v>45835</v>
      </c>
      <c r="D712" s="7">
        <v>485228</v>
      </c>
      <c r="E712" s="5" t="str">
        <f>_xlfn.XLOOKUP(D712,[1]!Tabela24[Código consultor],[1]!Tabela24[Consultor Venda],0,0,1)</f>
        <v>COM - UMR - RAFAEL BAZZANELA CARDOSO DE SOUZA</v>
      </c>
      <c r="F712" s="5" t="str">
        <f>_xlfn.XLOOKUP(D712,[1]!Tabela24[Código consultor],[1]!Tabela24[Canal Consultor],0,0,1)</f>
        <v>INTERNO</v>
      </c>
      <c r="G712" s="5" t="str">
        <f>_xlfn.XLOOKUP(B712,[1]!Tabela1[[Cidades ]],[1]!Tabela1[Regional],0,0,1)</f>
        <v>Adilson</v>
      </c>
      <c r="H712" s="8" t="str">
        <f>_xlfn.XLOOKUP(B712,[1]!Tabela1[[Cidades ]],[1]!Tabela1[Gerente],0,0,1)</f>
        <v>Demais coordenadores</v>
      </c>
    </row>
    <row r="713" spans="1:8" x14ac:dyDescent="0.3">
      <c r="A713" s="9" t="s">
        <v>860</v>
      </c>
      <c r="B713" s="10" t="s">
        <v>23</v>
      </c>
      <c r="C713" s="11">
        <v>45835</v>
      </c>
      <c r="D713" s="12">
        <v>880152</v>
      </c>
      <c r="E713" s="5" t="str">
        <f>_xlfn.XLOOKUP(D713,[1]!Tabela24[Código consultor],[1]!Tabela24[Consultor Venda],0,0,1)</f>
        <v>COM - CAN - JHULIANA FREITAS SCHMACHTENBERG</v>
      </c>
      <c r="F713" s="5" t="str">
        <f>_xlfn.XLOOKUP(D713,[1]!Tabela24[Código consultor],[1]!Tabela24[Canal Consultor],0,0,1)</f>
        <v>INTERNO</v>
      </c>
      <c r="G713" s="10" t="str">
        <f>_xlfn.XLOOKUP(B713,[1]!Tabela1[[Cidades ]],[1]!Tabela1[Regional],0,0,1)</f>
        <v>Magno</v>
      </c>
      <c r="H713" s="13" t="str">
        <f>_xlfn.XLOOKUP(B713,[1]!Tabela1[[Cidades ]],[1]!Tabela1[Gerente],0,0,1)</f>
        <v>Demais coordenadores</v>
      </c>
    </row>
    <row r="714" spans="1:8" x14ac:dyDescent="0.3">
      <c r="A714" s="4" t="s">
        <v>862</v>
      </c>
      <c r="B714" s="5" t="s">
        <v>27</v>
      </c>
      <c r="C714" s="6">
        <v>45835</v>
      </c>
      <c r="D714" s="7">
        <v>405</v>
      </c>
      <c r="E714" s="5" t="str">
        <f>_xlfn.XLOOKUP(D714,[1]!Tabela24[Código consultor],[1]!Tabela24[Consultor Venda],0,0,1)</f>
        <v>COM - VAA - GREICE BOEIRA DA SILVA</v>
      </c>
      <c r="F714" s="5" t="str">
        <f>_xlfn.XLOOKUP(D714,[1]!Tabela24[Código consultor],[1]!Tabela24[Canal Consultor],0,0,1)</f>
        <v>INTERNO</v>
      </c>
      <c r="G714" s="5" t="str">
        <f>_xlfn.XLOOKUP(B714,[1]!Tabela1[[Cidades ]],[1]!Tabela1[Regional],0,0,1)</f>
        <v>Alisson</v>
      </c>
      <c r="H714" s="8" t="str">
        <f>_xlfn.XLOOKUP(B714,[1]!Tabela1[[Cidades ]],[1]!Tabela1[Gerente],0,0,1)</f>
        <v>Tatiane</v>
      </c>
    </row>
    <row r="715" spans="1:8" x14ac:dyDescent="0.3">
      <c r="A715" s="9" t="s">
        <v>863</v>
      </c>
      <c r="B715" s="10" t="s">
        <v>53</v>
      </c>
      <c r="C715" s="11">
        <v>45835</v>
      </c>
      <c r="D715" s="12">
        <v>623344</v>
      </c>
      <c r="E715" s="5" t="str">
        <f>_xlfn.XLOOKUP(D715,[1]!Tabela24[Código consultor],[1]!Tabela24[Consultor Venda],0,0,1)</f>
        <v>COM - DOS - EDUARDO ALVARENGA CARDOSO VIEIRA</v>
      </c>
      <c r="F715" s="5" t="str">
        <f>_xlfn.XLOOKUP(D715,[1]!Tabela24[Código consultor],[1]!Tabela24[Canal Consultor],0,0,1)</f>
        <v>Pap</v>
      </c>
      <c r="G715" s="10" t="str">
        <f>_xlfn.XLOOKUP(B715,[1]!Tabela1[[Cidades ]],[1]!Tabela1[Regional],0,0,1)</f>
        <v>Adilson</v>
      </c>
      <c r="H715" s="13" t="str">
        <f>_xlfn.XLOOKUP(B715,[1]!Tabela1[[Cidades ]],[1]!Tabela1[Gerente],0,0,1)</f>
        <v>Demais coordenadores</v>
      </c>
    </row>
    <row r="716" spans="1:8" x14ac:dyDescent="0.3">
      <c r="A716" s="4" t="s">
        <v>864</v>
      </c>
      <c r="B716" s="5" t="s">
        <v>14</v>
      </c>
      <c r="C716" s="6">
        <v>45835</v>
      </c>
      <c r="D716" s="7">
        <v>258913</v>
      </c>
      <c r="E716" s="5" t="str">
        <f>_xlfn.XLOOKUP(D716,[1]!Tabela24[Código consultor],[1]!Tabela24[Consultor Venda],0,0,1)</f>
        <v>PAR - PLI - HTEC - DANIELA BRAGANHOLI HELFER</v>
      </c>
      <c r="F716" s="5" t="str">
        <f>_xlfn.XLOOKUP(D716,[1]!Tabela24[Código consultor],[1]!Tabela24[Canal Consultor],0,0,1)</f>
        <v>PAR</v>
      </c>
      <c r="G716" s="5" t="str">
        <f>_xlfn.XLOOKUP(B716,[1]!Tabela1[[Cidades ]],[1]!Tabela1[Regional],0,0,1)</f>
        <v>Maycon</v>
      </c>
      <c r="H716" s="8" t="str">
        <f>_xlfn.XLOOKUP(B716,[1]!Tabela1[[Cidades ]],[1]!Tabela1[Gerente],0,0,1)</f>
        <v>Demais coordenadores</v>
      </c>
    </row>
    <row r="717" spans="1:8" x14ac:dyDescent="0.3">
      <c r="A717" s="9" t="s">
        <v>960</v>
      </c>
      <c r="B717" s="10" t="s">
        <v>30</v>
      </c>
      <c r="C717" s="11">
        <v>45835</v>
      </c>
      <c r="D717" s="12">
        <v>883827</v>
      </c>
      <c r="E717" s="5" t="str">
        <f>_xlfn.XLOOKUP(D717,[1]!Tabela24[Código consultor],[1]!Tabela24[Consultor Venda],0,0,1)</f>
        <v>COM - IGA - YASMIN NAYARA DE ALMEIDA SILVA</v>
      </c>
      <c r="F717" s="5" t="str">
        <f>_xlfn.XLOOKUP(D717,[1]!Tabela24[Código consultor],[1]!Tabela24[Canal Consultor],0,0,1)</f>
        <v>Pap</v>
      </c>
      <c r="G717" s="10" t="str">
        <f>_xlfn.XLOOKUP(B717,[1]!Tabela1[[Cidades ]],[1]!Tabela1[Regional],0,0,1)</f>
        <v>Jean</v>
      </c>
      <c r="H717" s="13" t="str">
        <f>_xlfn.XLOOKUP(B717,[1]!Tabela1[[Cidades ]],[1]!Tabela1[Gerente],0,0,1)</f>
        <v>Demais coordenadores</v>
      </c>
    </row>
    <row r="718" spans="1:8" x14ac:dyDescent="0.3">
      <c r="A718" s="4" t="s">
        <v>866</v>
      </c>
      <c r="B718" s="5" t="s">
        <v>53</v>
      </c>
      <c r="C718" s="6">
        <v>45835</v>
      </c>
      <c r="D718" s="7">
        <v>844068</v>
      </c>
      <c r="E718" s="5" t="str">
        <f>_xlfn.XLOOKUP(D718,[1]!Tabela24[Código consultor],[1]!Tabela24[Consultor Venda],0,0,1)</f>
        <v>COM - DOS - GABRIEL SPINDOLA RAMOS CORREA</v>
      </c>
      <c r="F718" s="5" t="str">
        <f>_xlfn.XLOOKUP(D718,[1]!Tabela24[Código consultor],[1]!Tabela24[Canal Consultor],0,0,1)</f>
        <v>Pap</v>
      </c>
      <c r="G718" s="5" t="str">
        <f>_xlfn.XLOOKUP(B718,[1]!Tabela1[[Cidades ]],[1]!Tabela1[Regional],0,0,1)</f>
        <v>Adilson</v>
      </c>
      <c r="H718" s="8" t="str">
        <f>_xlfn.XLOOKUP(B718,[1]!Tabela1[[Cidades ]],[1]!Tabela1[Gerente],0,0,1)</f>
        <v>Demais coordenadores</v>
      </c>
    </row>
    <row r="719" spans="1:8" x14ac:dyDescent="0.3">
      <c r="A719" s="9" t="s">
        <v>961</v>
      </c>
      <c r="B719" s="10" t="s">
        <v>31</v>
      </c>
      <c r="C719" s="11">
        <v>45835</v>
      </c>
      <c r="D719" s="12">
        <v>617463</v>
      </c>
      <c r="E719" s="5" t="str">
        <f>_xlfn.XLOOKUP(D719,[1]!Tabela24[Código consultor],[1]!Tabela24[Consultor Venda],0,0,1)</f>
        <v>DIG - CCO - ALEX AUGUSTO DA CRUZ RODRIGUES</v>
      </c>
      <c r="F719" s="5" t="str">
        <f>_xlfn.XLOOKUP(D719,[1]!Tabela24[Código consultor],[1]!Tabela24[Canal Consultor],0,0,1)</f>
        <v>DIGITAL</v>
      </c>
      <c r="G719" s="10" t="str">
        <f>_xlfn.XLOOKUP(B719,[1]!Tabela1[[Cidades ]],[1]!Tabela1[Regional],0,0,1)</f>
        <v>Maycon</v>
      </c>
      <c r="H719" s="13" t="str">
        <f>_xlfn.XLOOKUP(B719,[1]!Tabela1[[Cidades ]],[1]!Tabela1[Gerente],0,0,1)</f>
        <v>Demais coordenadores</v>
      </c>
    </row>
    <row r="720" spans="1:8" x14ac:dyDescent="0.3">
      <c r="A720" s="4" t="s">
        <v>867</v>
      </c>
      <c r="B720" s="5" t="s">
        <v>19</v>
      </c>
      <c r="C720" s="6">
        <v>45835</v>
      </c>
      <c r="D720" s="7">
        <v>788656</v>
      </c>
      <c r="E720" s="5" t="str">
        <f>_xlfn.XLOOKUP(D720,[1]!Tabela24[Código consultor],[1]!Tabela24[Consultor Venda],0,0,1)</f>
        <v>PAR - STB - PAP - JOY TELECOM - GABRIELA ALVES DE GODOY</v>
      </c>
      <c r="F720" s="5" t="str">
        <f>_xlfn.XLOOKUP(D720,[1]!Tabela24[Código consultor],[1]!Tabela24[Canal Consultor],0,0,1)</f>
        <v>PAR_DIG</v>
      </c>
      <c r="G720" s="5" t="str">
        <f>_xlfn.XLOOKUP(B720,[1]!Tabela1[[Cidades ]],[1]!Tabela1[Regional],0,0,1)</f>
        <v>Magno</v>
      </c>
      <c r="H720" s="8" t="str">
        <f>_xlfn.XLOOKUP(B720,[1]!Tabela1[[Cidades ]],[1]!Tabela1[Gerente],0,0,1)</f>
        <v>Demais coordenadores</v>
      </c>
    </row>
    <row r="721" spans="1:8" x14ac:dyDescent="0.3">
      <c r="A721" s="9" t="s">
        <v>962</v>
      </c>
      <c r="B721" s="10" t="s">
        <v>39</v>
      </c>
      <c r="C721" s="11">
        <v>45835</v>
      </c>
      <c r="D721" s="12">
        <v>882331</v>
      </c>
      <c r="E721" s="5" t="str">
        <f>_xlfn.XLOOKUP(D721,[1]!Tabela24[Código consultor],[1]!Tabela24[Consultor Venda],0,0,1)</f>
        <v>DIG - CCO - SABRINA LUIZA BANDEIRA</v>
      </c>
      <c r="F721" s="5" t="str">
        <f>_xlfn.XLOOKUP(D721,[1]!Tabela24[Código consultor],[1]!Tabela24[Canal Consultor],0,0,1)</f>
        <v>DIGITAL</v>
      </c>
      <c r="G721" s="10" t="str">
        <f>_xlfn.XLOOKUP(B721,[1]!Tabela1[[Cidades ]],[1]!Tabela1[Regional],0,0,1)</f>
        <v>Marcio</v>
      </c>
      <c r="H721" s="13" t="str">
        <f>_xlfn.XLOOKUP(B721,[1]!Tabela1[[Cidades ]],[1]!Tabela1[Gerente],0,0,1)</f>
        <v>Demais coordenadores</v>
      </c>
    </row>
    <row r="722" spans="1:8" x14ac:dyDescent="0.3">
      <c r="A722" s="4" t="s">
        <v>868</v>
      </c>
      <c r="B722" s="5" t="s">
        <v>12</v>
      </c>
      <c r="C722" s="6">
        <v>45835</v>
      </c>
      <c r="D722" s="7">
        <v>40828</v>
      </c>
      <c r="E722" s="5" t="str">
        <f>_xlfn.XLOOKUP(D722,[1]!Tabela24[Código consultor],[1]!Tabela24[Consultor Venda],0,0,1)</f>
        <v>COM - PGO - CRISTIANE APARECIDA CHIAMULERA</v>
      </c>
      <c r="F722" s="5" t="str">
        <f>_xlfn.XLOOKUP(D722,[1]!Tabela24[Código consultor],[1]!Tabela24[Canal Consultor],0,0,1)</f>
        <v>Pap</v>
      </c>
      <c r="G722" s="5" t="str">
        <f>_xlfn.XLOOKUP(B722,[1]!Tabela1[[Cidades ]],[1]!Tabela1[Regional],0,0,1)</f>
        <v>Jean</v>
      </c>
      <c r="H722" s="8" t="str">
        <f>_xlfn.XLOOKUP(B722,[1]!Tabela1[[Cidades ]],[1]!Tabela1[Gerente],0,0,1)</f>
        <v>Demais coordenadores</v>
      </c>
    </row>
    <row r="723" spans="1:8" x14ac:dyDescent="0.3">
      <c r="A723" s="9" t="s">
        <v>869</v>
      </c>
      <c r="B723" s="10" t="s">
        <v>10</v>
      </c>
      <c r="C723" s="11">
        <v>45835</v>
      </c>
      <c r="D723" s="12">
        <v>197832</v>
      </c>
      <c r="E723" s="5" t="str">
        <f>_xlfn.XLOOKUP(D723,[1]!Tabela24[Código consultor],[1]!Tabela24[Consultor Venda],0,0,1)</f>
        <v>DIG - CCO - RAIANE BERGAMIN</v>
      </c>
      <c r="F723" s="5" t="str">
        <f>_xlfn.XLOOKUP(D723,[1]!Tabela24[Código consultor],[1]!Tabela24[Canal Consultor],0,0,1)</f>
        <v>DIGITAL</v>
      </c>
      <c r="G723" s="10" t="str">
        <f>_xlfn.XLOOKUP(B723,[1]!Tabela1[[Cidades ]],[1]!Tabela1[Regional],0,0,1)</f>
        <v>Jean</v>
      </c>
      <c r="H723" s="13" t="str">
        <f>_xlfn.XLOOKUP(B723,[1]!Tabela1[[Cidades ]],[1]!Tabela1[Gerente],0,0,1)</f>
        <v>Demais coordenadores</v>
      </c>
    </row>
    <row r="724" spans="1:8" x14ac:dyDescent="0.3">
      <c r="A724" s="4" t="s">
        <v>870</v>
      </c>
      <c r="B724" s="5" t="s">
        <v>19</v>
      </c>
      <c r="C724" s="6">
        <v>45835</v>
      </c>
      <c r="D724" s="7">
        <v>781646</v>
      </c>
      <c r="E724" s="5" t="str">
        <f>_xlfn.XLOOKUP(D724,[1]!Tabela24[Código consultor],[1]!Tabela24[Consultor Venda],0,0,1)</f>
        <v>COM - CHN - EDUARDA BECKER RANGEL</v>
      </c>
      <c r="F724" s="5" t="str">
        <f>_xlfn.XLOOKUP(D724,[1]!Tabela24[Código consultor],[1]!Tabela24[Canal Consultor],0,0,1)</f>
        <v>Pap</v>
      </c>
      <c r="G724" s="5" t="str">
        <f>_xlfn.XLOOKUP(B724,[1]!Tabela1[[Cidades ]],[1]!Tabela1[Regional],0,0,1)</f>
        <v>Magno</v>
      </c>
      <c r="H724" s="8" t="str">
        <f>_xlfn.XLOOKUP(B724,[1]!Tabela1[[Cidades ]],[1]!Tabela1[Gerente],0,0,1)</f>
        <v>Demais coordenadores</v>
      </c>
    </row>
    <row r="725" spans="1:8" x14ac:dyDescent="0.3">
      <c r="A725" s="9" t="s">
        <v>871</v>
      </c>
      <c r="B725" s="10" t="s">
        <v>11</v>
      </c>
      <c r="C725" s="11">
        <v>45835</v>
      </c>
      <c r="D725" s="12">
        <v>788656</v>
      </c>
      <c r="E725" s="5" t="str">
        <f>_xlfn.XLOOKUP(D725,[1]!Tabela24[Código consultor],[1]!Tabela24[Consultor Venda],0,0,1)</f>
        <v>PAR - STB - PAP - JOY TELECOM - GABRIELA ALVES DE GODOY</v>
      </c>
      <c r="F725" s="5" t="str">
        <f>_xlfn.XLOOKUP(D725,[1]!Tabela24[Código consultor],[1]!Tabela24[Canal Consultor],0,0,1)</f>
        <v>PAR_DIG</v>
      </c>
      <c r="G725" s="10" t="str">
        <f>_xlfn.XLOOKUP(B725,[1]!Tabela1[[Cidades ]],[1]!Tabela1[Regional],0,0,1)</f>
        <v>Magno</v>
      </c>
      <c r="H725" s="13" t="str">
        <f>_xlfn.XLOOKUP(B725,[1]!Tabela1[[Cidades ]],[1]!Tabela1[Gerente],0,0,1)</f>
        <v>Demais coordenadores</v>
      </c>
    </row>
    <row r="726" spans="1:8" x14ac:dyDescent="0.3">
      <c r="A726" s="4" t="s">
        <v>874</v>
      </c>
      <c r="B726" s="5" t="s">
        <v>109</v>
      </c>
      <c r="C726" s="6">
        <v>45835</v>
      </c>
      <c r="D726" s="7">
        <v>738880</v>
      </c>
      <c r="E726" s="5" t="str">
        <f>_xlfn.XLOOKUP(D726,[1]!Tabela24[Código consultor],[1]!Tabela24[Consultor Venda],0,0,1)</f>
        <v>PAR - PAP - MUNDIALE - ANA LUIZA COUTO MATIAS</v>
      </c>
      <c r="F726" s="5" t="str">
        <f>_xlfn.XLOOKUP(D726,[1]!Tabela24[Código consultor],[1]!Tabela24[Canal Consultor],0,0,1)</f>
        <v>PAR_DIG</v>
      </c>
      <c r="G726" s="5" t="str">
        <f>_xlfn.XLOOKUP(B726,[1]!Tabela1[[Cidades ]],[1]!Tabela1[Regional],0,0,1)</f>
        <v>Adilson</v>
      </c>
      <c r="H726" s="8" t="str">
        <f>_xlfn.XLOOKUP(B726,[1]!Tabela1[[Cidades ]],[1]!Tabela1[Gerente],0,0,1)</f>
        <v>Demais coordenadores</v>
      </c>
    </row>
    <row r="727" spans="1:8" x14ac:dyDescent="0.3">
      <c r="A727" s="9" t="s">
        <v>876</v>
      </c>
      <c r="B727" s="10" t="s">
        <v>88</v>
      </c>
      <c r="C727" s="11">
        <v>45835</v>
      </c>
      <c r="D727" s="12">
        <v>874055</v>
      </c>
      <c r="E727" s="5" t="str">
        <f>_xlfn.XLOOKUP(D727,[1]!Tabela24[Código consultor],[1]!Tabela24[Consultor Venda],0,0,1)</f>
        <v>COM - CUA - RAFAEL ROSA ROQUE</v>
      </c>
      <c r="F727" s="5" t="str">
        <f>_xlfn.XLOOKUP(D727,[1]!Tabela24[Código consultor],[1]!Tabela24[Canal Consultor],0,0,1)</f>
        <v>Pap</v>
      </c>
      <c r="G727" s="10" t="str">
        <f>_xlfn.XLOOKUP(B727,[1]!Tabela1[[Cidades ]],[1]!Tabela1[Regional],0,0,1)</f>
        <v>Marcio</v>
      </c>
      <c r="H727" s="13" t="str">
        <f>_xlfn.XLOOKUP(B727,[1]!Tabela1[[Cidades ]],[1]!Tabela1[Gerente],0,0,1)</f>
        <v>Demais coordenadores</v>
      </c>
    </row>
    <row r="728" spans="1:8" x14ac:dyDescent="0.3">
      <c r="A728" s="4" t="s">
        <v>877</v>
      </c>
      <c r="B728" s="5" t="s">
        <v>24</v>
      </c>
      <c r="C728" s="6">
        <v>45835</v>
      </c>
      <c r="D728" s="7">
        <v>788656</v>
      </c>
      <c r="E728" s="5" t="str">
        <f>_xlfn.XLOOKUP(D728,[1]!Tabela24[Código consultor],[1]!Tabela24[Consultor Venda],0,0,1)</f>
        <v>PAR - STB - PAP - JOY TELECOM - GABRIELA ALVES DE GODOY</v>
      </c>
      <c r="F728" s="5" t="str">
        <f>_xlfn.XLOOKUP(D728,[1]!Tabela24[Código consultor],[1]!Tabela24[Canal Consultor],0,0,1)</f>
        <v>PAR_DIG</v>
      </c>
      <c r="G728" s="5" t="str">
        <f>_xlfn.XLOOKUP(B728,[1]!Tabela1[[Cidades ]],[1]!Tabela1[Regional],0,0,1)</f>
        <v>Magno</v>
      </c>
      <c r="H728" s="8" t="str">
        <f>_xlfn.XLOOKUP(B728,[1]!Tabela1[[Cidades ]],[1]!Tabela1[Gerente],0,0,1)</f>
        <v>Demais coordenadores</v>
      </c>
    </row>
    <row r="729" spans="1:8" x14ac:dyDescent="0.3">
      <c r="A729" s="9" t="s">
        <v>878</v>
      </c>
      <c r="B729" s="10" t="s">
        <v>18</v>
      </c>
      <c r="C729" s="11">
        <v>45835</v>
      </c>
      <c r="D729" s="12">
        <v>738880</v>
      </c>
      <c r="E729" s="5" t="str">
        <f>_xlfn.XLOOKUP(D729,[1]!Tabela24[Código consultor],[1]!Tabela24[Consultor Venda],0,0,1)</f>
        <v>PAR - PAP - MUNDIALE - ANA LUIZA COUTO MATIAS</v>
      </c>
      <c r="F729" s="5" t="str">
        <f>_xlfn.XLOOKUP(D729,[1]!Tabela24[Código consultor],[1]!Tabela24[Canal Consultor],0,0,1)</f>
        <v>PAR_DIG</v>
      </c>
      <c r="G729" s="10" t="str">
        <f>_xlfn.XLOOKUP(B729,[1]!Tabela1[[Cidades ]],[1]!Tabela1[Regional],0,0,1)</f>
        <v>Maycon</v>
      </c>
      <c r="H729" s="13" t="str">
        <f>_xlfn.XLOOKUP(B729,[1]!Tabela1[[Cidades ]],[1]!Tabela1[Gerente],0,0,1)</f>
        <v>Demais coordenadores</v>
      </c>
    </row>
    <row r="730" spans="1:8" x14ac:dyDescent="0.3">
      <c r="A730" s="4" t="s">
        <v>880</v>
      </c>
      <c r="B730" s="5" t="s">
        <v>32</v>
      </c>
      <c r="C730" s="6">
        <v>45835</v>
      </c>
      <c r="D730" s="7">
        <v>576121</v>
      </c>
      <c r="E730" s="5" t="str">
        <f>_xlfn.XLOOKUP(D730,[1]!Tabela24[Código consultor],[1]!Tabela24[Consultor Venda],0,0,1)</f>
        <v>COM - IGA - LEONARDO XAVIER GOMES</v>
      </c>
      <c r="F730" s="5" t="str">
        <f>_xlfn.XLOOKUP(D730,[1]!Tabela24[Código consultor],[1]!Tabela24[Canal Consultor],0,0,1)</f>
        <v>Pap</v>
      </c>
      <c r="G730" s="5" t="str">
        <f>_xlfn.XLOOKUP(B730,[1]!Tabela1[[Cidades ]],[1]!Tabela1[Regional],0,0,1)</f>
        <v>Jean</v>
      </c>
      <c r="H730" s="8" t="str">
        <f>_xlfn.XLOOKUP(B730,[1]!Tabela1[[Cidades ]],[1]!Tabela1[Gerente],0,0,1)</f>
        <v>Demais coordenadores</v>
      </c>
    </row>
    <row r="731" spans="1:8" x14ac:dyDescent="0.3">
      <c r="A731" s="9" t="s">
        <v>881</v>
      </c>
      <c r="B731" s="10" t="s">
        <v>11</v>
      </c>
      <c r="C731" s="11">
        <v>45835</v>
      </c>
      <c r="D731" s="12">
        <v>861705</v>
      </c>
      <c r="E731" s="5" t="str">
        <f>_xlfn.XLOOKUP(D731,[1]!Tabela24[Código consultor],[1]!Tabela24[Consultor Venda],0,0,1)</f>
        <v>PAR - COM - PAP - TQR - ERIKA DE OLIVEIRA GALLE</v>
      </c>
      <c r="F731" s="5" t="str">
        <f>_xlfn.XLOOKUP(D731,[1]!Tabela24[Código consultor],[1]!Tabela24[Canal Consultor],0,0,1)</f>
        <v>PAR</v>
      </c>
      <c r="G731" s="10" t="str">
        <f>_xlfn.XLOOKUP(B731,[1]!Tabela1[[Cidades ]],[1]!Tabela1[Regional],0,0,1)</f>
        <v>Magno</v>
      </c>
      <c r="H731" s="13" t="str">
        <f>_xlfn.XLOOKUP(B731,[1]!Tabela1[[Cidades ]],[1]!Tabela1[Gerente],0,0,1)</f>
        <v>Demais coordenadores</v>
      </c>
    </row>
    <row r="732" spans="1:8" x14ac:dyDescent="0.3">
      <c r="A732" s="4" t="s">
        <v>883</v>
      </c>
      <c r="B732" s="5" t="s">
        <v>12</v>
      </c>
      <c r="C732" s="6">
        <v>45835</v>
      </c>
      <c r="D732" s="7">
        <v>738880</v>
      </c>
      <c r="E732" s="5" t="str">
        <f>_xlfn.XLOOKUP(D732,[1]!Tabela24[Código consultor],[1]!Tabela24[Consultor Venda],0,0,1)</f>
        <v>PAR - PAP - MUNDIALE - ANA LUIZA COUTO MATIAS</v>
      </c>
      <c r="F732" s="5" t="str">
        <f>_xlfn.XLOOKUP(D732,[1]!Tabela24[Código consultor],[1]!Tabela24[Canal Consultor],0,0,1)</f>
        <v>PAR_DIG</v>
      </c>
      <c r="G732" s="5" t="str">
        <f>_xlfn.XLOOKUP(B732,[1]!Tabela1[[Cidades ]],[1]!Tabela1[Regional],0,0,1)</f>
        <v>Jean</v>
      </c>
      <c r="H732" s="8" t="str">
        <f>_xlfn.XLOOKUP(B732,[1]!Tabela1[[Cidades ]],[1]!Tabela1[Gerente],0,0,1)</f>
        <v>Demais coordenadores</v>
      </c>
    </row>
    <row r="733" spans="1:8" x14ac:dyDescent="0.3">
      <c r="A733" s="9" t="s">
        <v>963</v>
      </c>
      <c r="B733" s="10" t="s">
        <v>116</v>
      </c>
      <c r="C733" s="11">
        <v>45835</v>
      </c>
      <c r="D733" s="12">
        <v>454239</v>
      </c>
      <c r="E733" s="5" t="str">
        <f>_xlfn.XLOOKUP(D733,[1]!Tabela24[Código consultor],[1]!Tabela24[Consultor Venda],0,0,1)</f>
        <v>O&amp;M - GRP - FERNANDO SZCZEREPA CASSOL</v>
      </c>
      <c r="F733" s="5" t="str">
        <f>_xlfn.XLOOKUP(D733,[1]!Tabela24[Código consultor],[1]!Tabela24[Canal Consultor],0,0,1)</f>
        <v>ADM Interno</v>
      </c>
      <c r="G733" s="10" t="str">
        <f>_xlfn.XLOOKUP(B733,[1]!Tabela1[[Cidades ]],[1]!Tabela1[Regional],0,0,1)</f>
        <v>Jean</v>
      </c>
      <c r="H733" s="13" t="str">
        <f>_xlfn.XLOOKUP(B733,[1]!Tabela1[[Cidades ]],[1]!Tabela1[Gerente],0,0,1)</f>
        <v>Demais coordenadores</v>
      </c>
    </row>
    <row r="734" spans="1:8" x14ac:dyDescent="0.3">
      <c r="A734" s="4" t="s">
        <v>884</v>
      </c>
      <c r="B734" s="5" t="s">
        <v>39</v>
      </c>
      <c r="C734" s="6">
        <v>45835</v>
      </c>
      <c r="D734" s="7">
        <v>827465</v>
      </c>
      <c r="E734" s="5" t="str">
        <f>_xlfn.XLOOKUP(D734,[1]!Tabela24[Código consultor],[1]!Tabela24[Consultor Venda],0,0,1)</f>
        <v>DIG - ATV - TAINARA RODRIGUES CORDEIRO</v>
      </c>
      <c r="F734" s="5" t="str">
        <f>_xlfn.XLOOKUP(D734,[1]!Tabela24[Código consultor],[1]!Tabela24[Canal Consultor],0,0,1)</f>
        <v>Televendas Ativo</v>
      </c>
      <c r="G734" s="5" t="str">
        <f>_xlfn.XLOOKUP(B734,[1]!Tabela1[[Cidades ]],[1]!Tabela1[Regional],0,0,1)</f>
        <v>Marcio</v>
      </c>
      <c r="H734" s="8" t="str">
        <f>_xlfn.XLOOKUP(B734,[1]!Tabela1[[Cidades ]],[1]!Tabela1[Gerente],0,0,1)</f>
        <v>Demais coordenadores</v>
      </c>
    </row>
    <row r="735" spans="1:8" x14ac:dyDescent="0.3">
      <c r="A735" s="9" t="s">
        <v>885</v>
      </c>
      <c r="B735" s="10" t="s">
        <v>76</v>
      </c>
      <c r="C735" s="11">
        <v>45835</v>
      </c>
      <c r="D735" s="12">
        <v>788656</v>
      </c>
      <c r="E735" s="5" t="str">
        <f>_xlfn.XLOOKUP(D735,[1]!Tabela24[Código consultor],[1]!Tabela24[Consultor Venda],0,0,1)</f>
        <v>PAR - STB - PAP - JOY TELECOM - GABRIELA ALVES DE GODOY</v>
      </c>
      <c r="F735" s="5" t="str">
        <f>_xlfn.XLOOKUP(D735,[1]!Tabela24[Código consultor],[1]!Tabela24[Canal Consultor],0,0,1)</f>
        <v>PAR_DIG</v>
      </c>
      <c r="G735" s="10" t="str">
        <f>_xlfn.XLOOKUP(B735,[1]!Tabela1[[Cidades ]],[1]!Tabela1[Regional],0,0,1)</f>
        <v>Alisson</v>
      </c>
      <c r="H735" s="13" t="str">
        <f>_xlfn.XLOOKUP(B735,[1]!Tabela1[[Cidades ]],[1]!Tabela1[Gerente],0,0,1)</f>
        <v>Helena</v>
      </c>
    </row>
    <row r="736" spans="1:8" x14ac:dyDescent="0.3">
      <c r="A736" s="4" t="s">
        <v>964</v>
      </c>
      <c r="B736" s="5" t="s">
        <v>23</v>
      </c>
      <c r="C736" s="6">
        <v>45835</v>
      </c>
      <c r="D736" s="7">
        <v>858832</v>
      </c>
      <c r="E736" s="5" t="str">
        <f>_xlfn.XLOOKUP(D736,[1]!Tabela24[Código consultor],[1]!Tabela24[Consultor Venda],0,0,1)</f>
        <v>COM - CAN - RAYSSA RIBEIRO CRISOSTOMO BENJAMIM</v>
      </c>
      <c r="F736" s="5" t="str">
        <f>_xlfn.XLOOKUP(D736,[1]!Tabela24[Código consultor],[1]!Tabela24[Canal Consultor],0,0,1)</f>
        <v>Pap</v>
      </c>
      <c r="G736" s="5" t="str">
        <f>_xlfn.XLOOKUP(B736,[1]!Tabela1[[Cidades ]],[1]!Tabela1[Regional],0,0,1)</f>
        <v>Magno</v>
      </c>
      <c r="H736" s="8" t="str">
        <f>_xlfn.XLOOKUP(B736,[1]!Tabela1[[Cidades ]],[1]!Tabela1[Gerente],0,0,1)</f>
        <v>Demais coordenadores</v>
      </c>
    </row>
    <row r="737" spans="1:8" x14ac:dyDescent="0.3">
      <c r="A737" s="9" t="s">
        <v>888</v>
      </c>
      <c r="B737" s="10" t="s">
        <v>31</v>
      </c>
      <c r="C737" s="11">
        <v>45835</v>
      </c>
      <c r="D737" s="12">
        <v>788656</v>
      </c>
      <c r="E737" s="5" t="str">
        <f>_xlfn.XLOOKUP(D737,[1]!Tabela24[Código consultor],[1]!Tabela24[Consultor Venda],0,0,1)</f>
        <v>PAR - STB - PAP - JOY TELECOM - GABRIELA ALVES DE GODOY</v>
      </c>
      <c r="F737" s="5" t="str">
        <f>_xlfn.XLOOKUP(D737,[1]!Tabela24[Código consultor],[1]!Tabela24[Canal Consultor],0,0,1)</f>
        <v>PAR_DIG</v>
      </c>
      <c r="G737" s="10" t="str">
        <f>_xlfn.XLOOKUP(B737,[1]!Tabela1[[Cidades ]],[1]!Tabela1[Regional],0,0,1)</f>
        <v>Maycon</v>
      </c>
      <c r="H737" s="13" t="str">
        <f>_xlfn.XLOOKUP(B737,[1]!Tabela1[[Cidades ]],[1]!Tabela1[Gerente],0,0,1)</f>
        <v>Demais coordenadores</v>
      </c>
    </row>
    <row r="738" spans="1:8" x14ac:dyDescent="0.3">
      <c r="A738" s="4" t="s">
        <v>889</v>
      </c>
      <c r="B738" s="5" t="s">
        <v>31</v>
      </c>
      <c r="C738" s="6">
        <v>45835</v>
      </c>
      <c r="D738" s="7">
        <v>235841</v>
      </c>
      <c r="E738" s="5" t="str">
        <f>_xlfn.XLOOKUP(D738,[1]!Tabela24[Código consultor],[1]!Tabela24[Consultor Venda],0,0,1)</f>
        <v>DIG - CCO - KAUANA BONI</v>
      </c>
      <c r="F738" s="5" t="str">
        <f>_xlfn.XLOOKUP(D738,[1]!Tabela24[Código consultor],[1]!Tabela24[Canal Consultor],0,0,1)</f>
        <v>DIGITAL</v>
      </c>
      <c r="G738" s="5" t="str">
        <f>_xlfn.XLOOKUP(B738,[1]!Tabela1[[Cidades ]],[1]!Tabela1[Regional],0,0,1)</f>
        <v>Maycon</v>
      </c>
      <c r="H738" s="8" t="str">
        <f>_xlfn.XLOOKUP(B738,[1]!Tabela1[[Cidades ]],[1]!Tabela1[Gerente],0,0,1)</f>
        <v>Demais coordenadores</v>
      </c>
    </row>
    <row r="739" spans="1:8" x14ac:dyDescent="0.3">
      <c r="A739" s="9" t="s">
        <v>891</v>
      </c>
      <c r="B739" s="10" t="s">
        <v>22</v>
      </c>
      <c r="C739" s="11">
        <v>45835</v>
      </c>
      <c r="D739" s="12">
        <v>716615</v>
      </c>
      <c r="E739" s="5" t="str">
        <f>_xlfn.XLOOKUP(D739,[1]!Tabela24[Código consultor],[1]!Tabela24[Consultor Venda],0,0,1)</f>
        <v>COM - SCR - MARCO ANTONIO NUNES DOS SANTOS</v>
      </c>
      <c r="F739" s="5" t="str">
        <f>_xlfn.XLOOKUP(D739,[1]!Tabela24[Código consultor],[1]!Tabela24[Canal Consultor],0,0,1)</f>
        <v>Pap</v>
      </c>
      <c r="G739" s="10" t="str">
        <f>_xlfn.XLOOKUP(B739,[1]!Tabela1[[Cidades ]],[1]!Tabela1[Regional],0,0,1)</f>
        <v>Magno</v>
      </c>
      <c r="H739" s="13" t="str">
        <f>_xlfn.XLOOKUP(B739,[1]!Tabela1[[Cidades ]],[1]!Tabela1[Gerente],0,0,1)</f>
        <v>Demais coordenadores</v>
      </c>
    </row>
    <row r="740" spans="1:8" x14ac:dyDescent="0.3">
      <c r="A740" s="4" t="s">
        <v>893</v>
      </c>
      <c r="B740" s="5" t="s">
        <v>24</v>
      </c>
      <c r="C740" s="6">
        <v>45835</v>
      </c>
      <c r="D740" s="7">
        <v>234173</v>
      </c>
      <c r="E740" s="5" t="str">
        <f>_xlfn.XLOOKUP(D740,[1]!Tabela24[Código consultor],[1]!Tabela24[Consultor Venda],0,0,1)</f>
        <v>PAR - TEC - SMA - MARIZA DE FATIMA DEZORDI - MARIZA DEZORDI</v>
      </c>
      <c r="F740" s="5" t="str">
        <f>_xlfn.XLOOKUP(D740,[1]!Tabela24[Código consultor],[1]!Tabela24[Canal Consultor],0,0,1)</f>
        <v>PAR</v>
      </c>
      <c r="G740" s="5" t="str">
        <f>_xlfn.XLOOKUP(B740,[1]!Tabela1[[Cidades ]],[1]!Tabela1[Regional],0,0,1)</f>
        <v>Magno</v>
      </c>
      <c r="H740" s="8" t="str">
        <f>_xlfn.XLOOKUP(B740,[1]!Tabela1[[Cidades ]],[1]!Tabela1[Gerente],0,0,1)</f>
        <v>Demais coordenadores</v>
      </c>
    </row>
    <row r="741" spans="1:8" x14ac:dyDescent="0.3">
      <c r="A741" s="9" t="s">
        <v>894</v>
      </c>
      <c r="B741" s="10" t="s">
        <v>31</v>
      </c>
      <c r="C741" s="11">
        <v>45835</v>
      </c>
      <c r="D741" s="12">
        <v>863796</v>
      </c>
      <c r="E741" s="5" t="str">
        <f>_xlfn.XLOOKUP(D741,[1]!Tabela24[Código consultor],[1]!Tabela24[Consultor Venda],0,0,1)</f>
        <v>COM - CCO - MARIUSKYS LOISMARY SILVA BOLIVAR</v>
      </c>
      <c r="F741" s="5" t="str">
        <f>_xlfn.XLOOKUP(D741,[1]!Tabela24[Código consultor],[1]!Tabela24[Canal Consultor],0,0,1)</f>
        <v>INTERNO</v>
      </c>
      <c r="G741" s="10" t="str">
        <f>_xlfn.XLOOKUP(B741,[1]!Tabela1[[Cidades ]],[1]!Tabela1[Regional],0,0,1)</f>
        <v>Maycon</v>
      </c>
      <c r="H741" s="13" t="str">
        <f>_xlfn.XLOOKUP(B741,[1]!Tabela1[[Cidades ]],[1]!Tabela1[Gerente],0,0,1)</f>
        <v>Demais coordenadores</v>
      </c>
    </row>
    <row r="742" spans="1:8" x14ac:dyDescent="0.3">
      <c r="A742" s="4" t="s">
        <v>896</v>
      </c>
      <c r="B742" s="5" t="s">
        <v>52</v>
      </c>
      <c r="C742" s="6">
        <v>45835</v>
      </c>
      <c r="D742" s="7">
        <v>235841</v>
      </c>
      <c r="E742" s="5" t="str">
        <f>_xlfn.XLOOKUP(D742,[1]!Tabela24[Código consultor],[1]!Tabela24[Consultor Venda],0,0,1)</f>
        <v>DIG - CCO - KAUANA BONI</v>
      </c>
      <c r="F742" s="5" t="str">
        <f>_xlfn.XLOOKUP(D742,[1]!Tabela24[Código consultor],[1]!Tabela24[Canal Consultor],0,0,1)</f>
        <v>DIGITAL</v>
      </c>
      <c r="G742" s="5" t="str">
        <f>_xlfn.XLOOKUP(B742,[1]!Tabela1[[Cidades ]],[1]!Tabela1[Regional],0,0,1)</f>
        <v>Maycon</v>
      </c>
      <c r="H742" s="8" t="str">
        <f>_xlfn.XLOOKUP(B742,[1]!Tabela1[[Cidades ]],[1]!Tabela1[Gerente],0,0,1)</f>
        <v>Demais coordenadores</v>
      </c>
    </row>
    <row r="743" spans="1:8" x14ac:dyDescent="0.3">
      <c r="A743" s="9" t="s">
        <v>897</v>
      </c>
      <c r="B743" s="10" t="s">
        <v>42</v>
      </c>
      <c r="C743" s="11">
        <v>45835</v>
      </c>
      <c r="D743" s="12">
        <v>836541</v>
      </c>
      <c r="E743" s="5" t="str">
        <f>_xlfn.XLOOKUP(D743,[1]!Tabela24[Código consultor],[1]!Tabela24[Consultor Venda],0,0,1)</f>
        <v>COM - CDA - SARA DA SILVA LESSE</v>
      </c>
      <c r="F743" s="5" t="str">
        <f>_xlfn.XLOOKUP(D743,[1]!Tabela24[Código consultor],[1]!Tabela24[Canal Consultor],0,0,1)</f>
        <v>INTERNO</v>
      </c>
      <c r="G743" s="10" t="str">
        <f>_xlfn.XLOOKUP(B743,[1]!Tabela1[[Cidades ]],[1]!Tabela1[Regional],0,0,1)</f>
        <v>Maycon</v>
      </c>
      <c r="H743" s="13" t="str">
        <f>_xlfn.XLOOKUP(B743,[1]!Tabela1[[Cidades ]],[1]!Tabela1[Gerente],0,0,1)</f>
        <v>Demais coordenadores</v>
      </c>
    </row>
    <row r="744" spans="1:8" x14ac:dyDescent="0.3">
      <c r="A744" s="4" t="s">
        <v>899</v>
      </c>
      <c r="B744" s="5" t="s">
        <v>31</v>
      </c>
      <c r="C744" s="6">
        <v>45835</v>
      </c>
      <c r="D744" s="7">
        <v>683349</v>
      </c>
      <c r="E744" s="5" t="str">
        <f>_xlfn.XLOOKUP(D744,[1]!Tabela24[Código consultor],[1]!Tabela24[Consultor Venda],0,0,1)</f>
        <v>DIG - CCO - EVELLIN SALOA MAIA DA CONCEICAO</v>
      </c>
      <c r="F744" s="5" t="str">
        <f>_xlfn.XLOOKUP(D744,[1]!Tabela24[Código consultor],[1]!Tabela24[Canal Consultor],0,0,1)</f>
        <v>DIGITAL</v>
      </c>
      <c r="G744" s="5" t="str">
        <f>_xlfn.XLOOKUP(B744,[1]!Tabela1[[Cidades ]],[1]!Tabela1[Regional],0,0,1)</f>
        <v>Maycon</v>
      </c>
      <c r="H744" s="8" t="str">
        <f>_xlfn.XLOOKUP(B744,[1]!Tabela1[[Cidades ]],[1]!Tabela1[Gerente],0,0,1)</f>
        <v>Demais coordenadores</v>
      </c>
    </row>
    <row r="745" spans="1:8" x14ac:dyDescent="0.3">
      <c r="A745" s="9" t="s">
        <v>900</v>
      </c>
      <c r="B745" s="10" t="s">
        <v>23</v>
      </c>
      <c r="C745" s="11">
        <v>45835</v>
      </c>
      <c r="D745" s="12">
        <v>878638</v>
      </c>
      <c r="E745" s="5" t="str">
        <f>_xlfn.XLOOKUP(D745,[1]!Tabela24[Código consultor],[1]!Tabela24[Consultor Venda],0,0,1)</f>
        <v>COM - CAN - STEPHANI CRISTINA DUARTE BENITES</v>
      </c>
      <c r="F745" s="5" t="str">
        <f>_xlfn.XLOOKUP(D745,[1]!Tabela24[Código consultor],[1]!Tabela24[Canal Consultor],0,0,1)</f>
        <v>Pap</v>
      </c>
      <c r="G745" s="10" t="str">
        <f>_xlfn.XLOOKUP(B745,[1]!Tabela1[[Cidades ]],[1]!Tabela1[Regional],0,0,1)</f>
        <v>Magno</v>
      </c>
      <c r="H745" s="13" t="str">
        <f>_xlfn.XLOOKUP(B745,[1]!Tabela1[[Cidades ]],[1]!Tabela1[Gerente],0,0,1)</f>
        <v>Demais coordenadores</v>
      </c>
    </row>
    <row r="746" spans="1:8" x14ac:dyDescent="0.3">
      <c r="A746" s="4" t="s">
        <v>901</v>
      </c>
      <c r="B746" s="5" t="s">
        <v>24</v>
      </c>
      <c r="C746" s="6">
        <v>45835</v>
      </c>
      <c r="D746" s="7">
        <v>870012</v>
      </c>
      <c r="E746" s="5" t="str">
        <f>_xlfn.XLOOKUP(D746,[1]!Tabela24[Código consultor],[1]!Tabela24[Consultor Venda],0,0,1)</f>
        <v>COM - SMA - LUIZ EDUARDO DOS SANTOS LOPES COLLARES</v>
      </c>
      <c r="F746" s="5" t="str">
        <f>_xlfn.XLOOKUP(D746,[1]!Tabela24[Código consultor],[1]!Tabela24[Canal Consultor],0,0,1)</f>
        <v>Pap</v>
      </c>
      <c r="G746" s="5" t="str">
        <f>_xlfn.XLOOKUP(B746,[1]!Tabela1[[Cidades ]],[1]!Tabela1[Regional],0,0,1)</f>
        <v>Magno</v>
      </c>
      <c r="H746" s="8" t="str">
        <f>_xlfn.XLOOKUP(B746,[1]!Tabela1[[Cidades ]],[1]!Tabela1[Gerente],0,0,1)</f>
        <v>Demais coordenadores</v>
      </c>
    </row>
    <row r="747" spans="1:8" x14ac:dyDescent="0.3">
      <c r="A747" s="9" t="s">
        <v>903</v>
      </c>
      <c r="B747" s="10" t="s">
        <v>43</v>
      </c>
      <c r="C747" s="11">
        <v>45835</v>
      </c>
      <c r="D747" s="12">
        <v>501</v>
      </c>
      <c r="E747" s="5" t="str">
        <f>_xlfn.XLOOKUP(D747,[1]!Tabela24[Código consultor],[1]!Tabela24[Consultor Venda],0,0,1)</f>
        <v>COM - CAT - CRISTIANE PLINTA</v>
      </c>
      <c r="F747" s="5" t="str">
        <f>_xlfn.XLOOKUP(D747,[1]!Tabela24[Código consultor],[1]!Tabela24[Canal Consultor],0,0,1)</f>
        <v>INTERNO</v>
      </c>
      <c r="G747" s="10" t="str">
        <f>_xlfn.XLOOKUP(B747,[1]!Tabela1[[Cidades ]],[1]!Tabela1[Regional],0,0,1)</f>
        <v>Jean</v>
      </c>
      <c r="H747" s="13" t="str">
        <f>_xlfn.XLOOKUP(B747,[1]!Tabela1[[Cidades ]],[1]!Tabela1[Gerente],0,0,1)</f>
        <v>Demais coordenadores</v>
      </c>
    </row>
    <row r="748" spans="1:8" x14ac:dyDescent="0.3">
      <c r="A748" s="4" t="s">
        <v>905</v>
      </c>
      <c r="B748" s="5" t="s">
        <v>18</v>
      </c>
      <c r="C748" s="6">
        <v>45835</v>
      </c>
      <c r="D748" s="7">
        <v>801750</v>
      </c>
      <c r="E748" s="5" t="str">
        <f>_xlfn.XLOOKUP(D748,[1]!Tabela24[Código consultor],[1]!Tabela24[Consultor Venda],0,0,1)</f>
        <v>COM - MVH - CAROLINE THAIS GONSALVES</v>
      </c>
      <c r="F748" s="5" t="str">
        <f>_xlfn.XLOOKUP(D748,[1]!Tabela24[Código consultor],[1]!Tabela24[Canal Consultor],0,0,1)</f>
        <v>INTERNO</v>
      </c>
      <c r="G748" s="5" t="str">
        <f>_xlfn.XLOOKUP(B748,[1]!Tabela1[[Cidades ]],[1]!Tabela1[Regional],0,0,1)</f>
        <v>Maycon</v>
      </c>
      <c r="H748" s="8" t="str">
        <f>_xlfn.XLOOKUP(B748,[1]!Tabela1[[Cidades ]],[1]!Tabela1[Gerente],0,0,1)</f>
        <v>Demais coordenadores</v>
      </c>
    </row>
    <row r="749" spans="1:8" x14ac:dyDescent="0.3">
      <c r="A749" s="9" t="s">
        <v>906</v>
      </c>
      <c r="B749" s="10" t="s">
        <v>22</v>
      </c>
      <c r="C749" s="11">
        <v>45835</v>
      </c>
      <c r="D749" s="12">
        <v>262158</v>
      </c>
      <c r="E749" s="5" t="str">
        <f>_xlfn.XLOOKUP(D749,[1]!Tabela24[Código consultor],[1]!Tabela24[Consultor Venda],0,0,1)</f>
        <v>O&amp;M - SCR - TEC - CRISTIAN ISRAEL THEISEN</v>
      </c>
      <c r="F749" s="5" t="str">
        <f>_xlfn.XLOOKUP(D749,[1]!Tabela24[Código consultor],[1]!Tabela24[Canal Consultor],0,0,1)</f>
        <v>ADM Interno</v>
      </c>
      <c r="G749" s="10" t="str">
        <f>_xlfn.XLOOKUP(B749,[1]!Tabela1[[Cidades ]],[1]!Tabela1[Regional],0,0,1)</f>
        <v>Magno</v>
      </c>
      <c r="H749" s="13" t="str">
        <f>_xlfn.XLOOKUP(B749,[1]!Tabela1[[Cidades ]],[1]!Tabela1[Gerente],0,0,1)</f>
        <v>Demais coordenadores</v>
      </c>
    </row>
    <row r="750" spans="1:8" x14ac:dyDescent="0.3">
      <c r="A750" s="4" t="s">
        <v>907</v>
      </c>
      <c r="B750" s="5" t="s">
        <v>22</v>
      </c>
      <c r="C750" s="6">
        <v>45835</v>
      </c>
      <c r="D750" s="7">
        <v>197832</v>
      </c>
      <c r="E750" s="5" t="str">
        <f>_xlfn.XLOOKUP(D750,[1]!Tabela24[Código consultor],[1]!Tabela24[Consultor Venda],0,0,1)</f>
        <v>DIG - CCO - RAIANE BERGAMIN</v>
      </c>
      <c r="F750" s="5" t="str">
        <f>_xlfn.XLOOKUP(D750,[1]!Tabela24[Código consultor],[1]!Tabela24[Canal Consultor],0,0,1)</f>
        <v>DIGITAL</v>
      </c>
      <c r="G750" s="5" t="str">
        <f>_xlfn.XLOOKUP(B750,[1]!Tabela1[[Cidades ]],[1]!Tabela1[Regional],0,0,1)</f>
        <v>Magno</v>
      </c>
      <c r="H750" s="8" t="str">
        <f>_xlfn.XLOOKUP(B750,[1]!Tabela1[[Cidades ]],[1]!Tabela1[Gerente],0,0,1)</f>
        <v>Demais coordenadores</v>
      </c>
    </row>
    <row r="751" spans="1:8" x14ac:dyDescent="0.3">
      <c r="A751" s="9" t="s">
        <v>909</v>
      </c>
      <c r="B751" s="10" t="s">
        <v>31</v>
      </c>
      <c r="C751" s="11">
        <v>45835</v>
      </c>
      <c r="D751" s="12">
        <v>165769</v>
      </c>
      <c r="E751" s="5" t="str">
        <f>_xlfn.XLOOKUP(D751,[1]!Tabela24[Código consultor],[1]!Tabela24[Consultor Venda],0,0,1)</f>
        <v>PAR - PAP - GTI - THALIA SP - THALIA DA SILVA PEREIRA</v>
      </c>
      <c r="F751" s="5" t="str">
        <f>_xlfn.XLOOKUP(D751,[1]!Tabela24[Código consultor],[1]!Tabela24[Canal Consultor],0,0,1)</f>
        <v>PAR</v>
      </c>
      <c r="G751" s="10" t="str">
        <f>_xlfn.XLOOKUP(B751,[1]!Tabela1[[Cidades ]],[1]!Tabela1[Regional],0,0,1)</f>
        <v>Maycon</v>
      </c>
      <c r="H751" s="13" t="str">
        <f>_xlfn.XLOOKUP(B751,[1]!Tabela1[[Cidades ]],[1]!Tabela1[Gerente],0,0,1)</f>
        <v>Demais coordenadores</v>
      </c>
    </row>
    <row r="752" spans="1:8" x14ac:dyDescent="0.3">
      <c r="A752" s="4" t="s">
        <v>911</v>
      </c>
      <c r="B752" s="5" t="s">
        <v>23</v>
      </c>
      <c r="C752" s="6">
        <v>45835</v>
      </c>
      <c r="D752" s="7">
        <v>880152</v>
      </c>
      <c r="E752" s="5" t="str">
        <f>_xlfn.XLOOKUP(D752,[1]!Tabela24[Código consultor],[1]!Tabela24[Consultor Venda],0,0,1)</f>
        <v>COM - CAN - JHULIANA FREITAS SCHMACHTENBERG</v>
      </c>
      <c r="F752" s="5" t="str">
        <f>_xlfn.XLOOKUP(D752,[1]!Tabela24[Código consultor],[1]!Tabela24[Canal Consultor],0,0,1)</f>
        <v>INTERNO</v>
      </c>
      <c r="G752" s="5" t="str">
        <f>_xlfn.XLOOKUP(B752,[1]!Tabela1[[Cidades ]],[1]!Tabela1[Regional],0,0,1)</f>
        <v>Magno</v>
      </c>
      <c r="H752" s="8" t="str">
        <f>_xlfn.XLOOKUP(B752,[1]!Tabela1[[Cidades ]],[1]!Tabela1[Gerente],0,0,1)</f>
        <v>Demais coordenadores</v>
      </c>
    </row>
    <row r="753" spans="1:8" x14ac:dyDescent="0.3">
      <c r="A753" s="9" t="s">
        <v>914</v>
      </c>
      <c r="B753" s="10" t="s">
        <v>24</v>
      </c>
      <c r="C753" s="11">
        <v>45835</v>
      </c>
      <c r="D753" s="12">
        <v>876183</v>
      </c>
      <c r="E753" s="5" t="str">
        <f>_xlfn.XLOOKUP(D753,[1]!Tabela24[Código consultor],[1]!Tabela24[Consultor Venda],0,0,1)</f>
        <v>COM - SMA - ANDRE DA SILVA DOS SANTOS</v>
      </c>
      <c r="F753" s="5" t="str">
        <f>_xlfn.XLOOKUP(D753,[1]!Tabela24[Código consultor],[1]!Tabela24[Canal Consultor],0,0,1)</f>
        <v>Pap</v>
      </c>
      <c r="G753" s="10" t="str">
        <f>_xlfn.XLOOKUP(B753,[1]!Tabela1[[Cidades ]],[1]!Tabela1[Regional],0,0,1)</f>
        <v>Magno</v>
      </c>
      <c r="H753" s="13" t="str">
        <f>_xlfn.XLOOKUP(B753,[1]!Tabela1[[Cidades ]],[1]!Tabela1[Gerente],0,0,1)</f>
        <v>Demais coordenadores</v>
      </c>
    </row>
    <row r="754" spans="1:8" x14ac:dyDescent="0.3">
      <c r="A754" s="4" t="s">
        <v>915</v>
      </c>
      <c r="B754" s="5" t="s">
        <v>13</v>
      </c>
      <c r="C754" s="6">
        <v>45835</v>
      </c>
      <c r="D754" s="7">
        <v>876149</v>
      </c>
      <c r="E754" s="5" t="str">
        <f>_xlfn.XLOOKUP(D754,[1]!Tabela24[Código consultor],[1]!Tabela24[Consultor Venda],0,0,1)</f>
        <v>COM - PAS - DANIEL DA SILVA PINHEIRO</v>
      </c>
      <c r="F754" s="5" t="str">
        <f>_xlfn.XLOOKUP(D754,[1]!Tabela24[Código consultor],[1]!Tabela24[Canal Consultor],0,0,1)</f>
        <v>Pap</v>
      </c>
      <c r="G754" s="5" t="str">
        <f>_xlfn.XLOOKUP(B754,[1]!Tabela1[[Cidades ]],[1]!Tabela1[Regional],0,0,1)</f>
        <v>Alisson</v>
      </c>
      <c r="H754" s="8" t="str">
        <f>_xlfn.XLOOKUP(B754,[1]!Tabela1[[Cidades ]],[1]!Tabela1[Gerente],0,0,1)</f>
        <v>Ariana</v>
      </c>
    </row>
    <row r="755" spans="1:8" x14ac:dyDescent="0.3">
      <c r="A755" s="9" t="s">
        <v>917</v>
      </c>
      <c r="B755" s="10" t="s">
        <v>53</v>
      </c>
      <c r="C755" s="11">
        <v>45835</v>
      </c>
      <c r="D755" s="12">
        <v>844068</v>
      </c>
      <c r="E755" s="5" t="str">
        <f>_xlfn.XLOOKUP(D755,[1]!Tabela24[Código consultor],[1]!Tabela24[Consultor Venda],0,0,1)</f>
        <v>COM - DOS - GABRIEL SPINDOLA RAMOS CORREA</v>
      </c>
      <c r="F755" s="5" t="str">
        <f>_xlfn.XLOOKUP(D755,[1]!Tabela24[Código consultor],[1]!Tabela24[Canal Consultor],0,0,1)</f>
        <v>Pap</v>
      </c>
      <c r="G755" s="10" t="str">
        <f>_xlfn.XLOOKUP(B755,[1]!Tabela1[[Cidades ]],[1]!Tabela1[Regional],0,0,1)</f>
        <v>Adilson</v>
      </c>
      <c r="H755" s="13" t="str">
        <f>_xlfn.XLOOKUP(B755,[1]!Tabela1[[Cidades ]],[1]!Tabela1[Gerente],0,0,1)</f>
        <v>Demais coordenadores</v>
      </c>
    </row>
    <row r="756" spans="1:8" x14ac:dyDescent="0.3">
      <c r="A756" s="4" t="s">
        <v>918</v>
      </c>
      <c r="B756" s="5" t="s">
        <v>23</v>
      </c>
      <c r="C756" s="6">
        <v>45835</v>
      </c>
      <c r="D756" s="7">
        <v>876162</v>
      </c>
      <c r="E756" s="5" t="str">
        <f>_xlfn.XLOOKUP(D756,[1]!Tabela24[Código consultor],[1]!Tabela24[Consultor Venda],0,0,1)</f>
        <v>COM - CAN - PAULA VITORIA ELIAS VIEIRA</v>
      </c>
      <c r="F756" s="5" t="str">
        <f>_xlfn.XLOOKUP(D756,[1]!Tabela24[Código consultor],[1]!Tabela24[Canal Consultor],0,0,1)</f>
        <v>Pap</v>
      </c>
      <c r="G756" s="5" t="str">
        <f>_xlfn.XLOOKUP(B756,[1]!Tabela1[[Cidades ]],[1]!Tabela1[Regional],0,0,1)</f>
        <v>Magno</v>
      </c>
      <c r="H756" s="8" t="str">
        <f>_xlfn.XLOOKUP(B756,[1]!Tabela1[[Cidades ]],[1]!Tabela1[Gerente],0,0,1)</f>
        <v>Demais coordenadores</v>
      </c>
    </row>
    <row r="757" spans="1:8" x14ac:dyDescent="0.3">
      <c r="A757" s="9" t="s">
        <v>919</v>
      </c>
      <c r="B757" s="10" t="s">
        <v>31</v>
      </c>
      <c r="C757" s="11">
        <v>45835</v>
      </c>
      <c r="D757" s="12">
        <v>683349</v>
      </c>
      <c r="E757" s="5" t="str">
        <f>_xlfn.XLOOKUP(D757,[1]!Tabela24[Código consultor],[1]!Tabela24[Consultor Venda],0,0,1)</f>
        <v>DIG - CCO - EVELLIN SALOA MAIA DA CONCEICAO</v>
      </c>
      <c r="F757" s="5" t="str">
        <f>_xlfn.XLOOKUP(D757,[1]!Tabela24[Código consultor],[1]!Tabela24[Canal Consultor],0,0,1)</f>
        <v>DIGITAL</v>
      </c>
      <c r="G757" s="10" t="str">
        <f>_xlfn.XLOOKUP(B757,[1]!Tabela1[[Cidades ]],[1]!Tabela1[Regional],0,0,1)</f>
        <v>Maycon</v>
      </c>
      <c r="H757" s="13" t="str">
        <f>_xlfn.XLOOKUP(B757,[1]!Tabela1[[Cidades ]],[1]!Tabela1[Gerente],0,0,1)</f>
        <v>Demais coordenadores</v>
      </c>
    </row>
    <row r="758" spans="1:8" x14ac:dyDescent="0.3">
      <c r="A758" s="4" t="s">
        <v>920</v>
      </c>
      <c r="B758" s="5" t="s">
        <v>57</v>
      </c>
      <c r="C758" s="6">
        <v>45835</v>
      </c>
      <c r="D758" s="7">
        <v>621514</v>
      </c>
      <c r="E758" s="5" t="str">
        <f>_xlfn.XLOOKUP(D758,[1]!Tabela24[Código consultor],[1]!Tabela24[Consultor Venda],0,0,1)</f>
        <v>COM - PLI - ELIZANDRA CARDOSO DA CRUZ</v>
      </c>
      <c r="F758" s="5" t="str">
        <f>_xlfn.XLOOKUP(D758,[1]!Tabela24[Código consultor],[1]!Tabela24[Canal Consultor],0,0,1)</f>
        <v>INTERNO</v>
      </c>
      <c r="G758" s="5" t="str">
        <f>_xlfn.XLOOKUP(B758,[1]!Tabela1[[Cidades ]],[1]!Tabela1[Regional],0,0,1)</f>
        <v>Maycon</v>
      </c>
      <c r="H758" s="8" t="str">
        <f>_xlfn.XLOOKUP(B758,[1]!Tabela1[[Cidades ]],[1]!Tabela1[Gerente],0,0,1)</f>
        <v>Demais coordenadores</v>
      </c>
    </row>
    <row r="759" spans="1:8" x14ac:dyDescent="0.3">
      <c r="A759" s="9" t="s">
        <v>922</v>
      </c>
      <c r="B759" s="10" t="s">
        <v>50</v>
      </c>
      <c r="C759" s="11">
        <v>45835</v>
      </c>
      <c r="D759" s="12">
        <v>870195</v>
      </c>
      <c r="E759" s="5" t="str">
        <f>_xlfn.XLOOKUP(D759,[1]!Tabela24[Código consultor],[1]!Tabela24[Consultor Venda],0,0,1)</f>
        <v>COM - FNS - AMINE DE OLIVEIRA VENTURA</v>
      </c>
      <c r="F759" s="5" t="str">
        <f>_xlfn.XLOOKUP(D759,[1]!Tabela24[Código consultor],[1]!Tabela24[Canal Consultor],0,0,1)</f>
        <v>Pap</v>
      </c>
      <c r="G759" s="10" t="str">
        <f>_xlfn.XLOOKUP(B759,[1]!Tabela1[[Cidades ]],[1]!Tabela1[Regional],0,0,1)</f>
        <v>Marcio</v>
      </c>
      <c r="H759" s="13" t="str">
        <f>_xlfn.XLOOKUP(B759,[1]!Tabela1[[Cidades ]],[1]!Tabela1[Gerente],0,0,1)</f>
        <v>Demais coordenadores</v>
      </c>
    </row>
    <row r="760" spans="1:8" x14ac:dyDescent="0.3">
      <c r="A760" s="4" t="s">
        <v>923</v>
      </c>
      <c r="B760" s="5" t="s">
        <v>12</v>
      </c>
      <c r="C760" s="6">
        <v>45835</v>
      </c>
      <c r="D760" s="7">
        <v>236724</v>
      </c>
      <c r="E760" s="5" t="str">
        <f>_xlfn.XLOOKUP(D760,[1]!Tabela24[Código consultor],[1]!Tabela24[Consultor Venda],0,0,1)</f>
        <v>COM - PGO - MAISE GABRIELLY BATISTA</v>
      </c>
      <c r="F760" s="5" t="str">
        <f>_xlfn.XLOOKUP(D760,[1]!Tabela24[Código consultor],[1]!Tabela24[Canal Consultor],0,0,1)</f>
        <v>INTERNO</v>
      </c>
      <c r="G760" s="5" t="str">
        <f>_xlfn.XLOOKUP(B760,[1]!Tabela1[[Cidades ]],[1]!Tabela1[Regional],0,0,1)</f>
        <v>Jean</v>
      </c>
      <c r="H760" s="8" t="str">
        <f>_xlfn.XLOOKUP(B760,[1]!Tabela1[[Cidades ]],[1]!Tabela1[Gerente],0,0,1)</f>
        <v>Demais coordenadores</v>
      </c>
    </row>
    <row r="761" spans="1:8" x14ac:dyDescent="0.3">
      <c r="A761" s="9" t="s">
        <v>924</v>
      </c>
      <c r="B761" s="10" t="s">
        <v>50</v>
      </c>
      <c r="C761" s="11">
        <v>45835</v>
      </c>
      <c r="D761" s="12">
        <v>242745</v>
      </c>
      <c r="E761" s="5" t="str">
        <f>_xlfn.XLOOKUP(D761,[1]!Tabela24[Código consultor],[1]!Tabela24[Consultor Venda],0,0,1)</f>
        <v>PME - FNS - NARA RUBIA M. SANTOS</v>
      </c>
      <c r="F761" s="5" t="str">
        <f>_xlfn.XLOOKUP(D761,[1]!Tabela24[Código consultor],[1]!Tabela24[Canal Consultor],0,0,1)</f>
        <v>CORPORATIVO</v>
      </c>
      <c r="G761" s="10" t="str">
        <f>_xlfn.XLOOKUP(B761,[1]!Tabela1[[Cidades ]],[1]!Tabela1[Regional],0,0,1)</f>
        <v>Marcio</v>
      </c>
      <c r="H761" s="13" t="str">
        <f>_xlfn.XLOOKUP(B761,[1]!Tabela1[[Cidades ]],[1]!Tabela1[Gerente],0,0,1)</f>
        <v>Demais coordenadores</v>
      </c>
    </row>
    <row r="762" spans="1:8" x14ac:dyDescent="0.3">
      <c r="A762" s="4" t="s">
        <v>925</v>
      </c>
      <c r="B762" s="5" t="s">
        <v>24</v>
      </c>
      <c r="C762" s="6">
        <v>45835</v>
      </c>
      <c r="D762" s="7">
        <v>870012</v>
      </c>
      <c r="E762" s="5" t="str">
        <f>_xlfn.XLOOKUP(D762,[1]!Tabela24[Código consultor],[1]!Tabela24[Consultor Venda],0,0,1)</f>
        <v>COM - SMA - LUIZ EDUARDO DOS SANTOS LOPES COLLARES</v>
      </c>
      <c r="F762" s="5" t="str">
        <f>_xlfn.XLOOKUP(D762,[1]!Tabela24[Código consultor],[1]!Tabela24[Canal Consultor],0,0,1)</f>
        <v>Pap</v>
      </c>
      <c r="G762" s="5" t="str">
        <f>_xlfn.XLOOKUP(B762,[1]!Tabela1[[Cidades ]],[1]!Tabela1[Regional],0,0,1)</f>
        <v>Magno</v>
      </c>
      <c r="H762" s="8" t="str">
        <f>_xlfn.XLOOKUP(B762,[1]!Tabela1[[Cidades ]],[1]!Tabela1[Gerente],0,0,1)</f>
        <v>Demais coordenadores</v>
      </c>
    </row>
    <row r="763" spans="1:8" x14ac:dyDescent="0.3">
      <c r="A763" s="9" t="s">
        <v>926</v>
      </c>
      <c r="B763" s="10" t="s">
        <v>83</v>
      </c>
      <c r="C763" s="11">
        <v>45835</v>
      </c>
      <c r="D763" s="12">
        <v>466272</v>
      </c>
      <c r="E763" s="5" t="str">
        <f>_xlfn.XLOOKUP(D763,[1]!Tabela24[Código consultor],[1]!Tabela24[Consultor Venda],0,0,1)</f>
        <v>COM - UMR - ANELIZE SUMARA COSTA</v>
      </c>
      <c r="F763" s="5" t="str">
        <f>_xlfn.XLOOKUP(D763,[1]!Tabela24[Código consultor],[1]!Tabela24[Canal Consultor],0,0,1)</f>
        <v>INTERNO</v>
      </c>
      <c r="G763" s="10" t="str">
        <f>_xlfn.XLOOKUP(B763,[1]!Tabela1[[Cidades ]],[1]!Tabela1[Regional],0,0,1)</f>
        <v>Adilson</v>
      </c>
      <c r="H763" s="13" t="str">
        <f>_xlfn.XLOOKUP(B763,[1]!Tabela1[[Cidades ]],[1]!Tabela1[Gerente],0,0,1)</f>
        <v>Demais coordenadores</v>
      </c>
    </row>
    <row r="764" spans="1:8" x14ac:dyDescent="0.3">
      <c r="A764" s="4" t="s">
        <v>927</v>
      </c>
      <c r="B764" s="5" t="s">
        <v>34</v>
      </c>
      <c r="C764" s="6">
        <v>45835</v>
      </c>
      <c r="D764" s="7">
        <v>213687</v>
      </c>
      <c r="E764" s="5" t="str">
        <f>_xlfn.XLOOKUP(D764,[1]!Tabela24[Código consultor],[1]!Tabela24[Consultor Venda],0,0,1)</f>
        <v>COM - ERE - GABRIELE FERREIRA FORTUNATO</v>
      </c>
      <c r="F764" s="5" t="str">
        <f>_xlfn.XLOOKUP(D764,[1]!Tabela24[Código consultor],[1]!Tabela24[Canal Consultor],0,0,1)</f>
        <v>INTERNO</v>
      </c>
      <c r="G764" s="5" t="str">
        <f>_xlfn.XLOOKUP(B764,[1]!Tabela1[[Cidades ]],[1]!Tabela1[Regional],0,0,1)</f>
        <v>Alisson</v>
      </c>
      <c r="H764" s="8" t="str">
        <f>_xlfn.XLOOKUP(B764,[1]!Tabela1[[Cidades ]],[1]!Tabela1[Gerente],0,0,1)</f>
        <v>Karine</v>
      </c>
    </row>
    <row r="765" spans="1:8" x14ac:dyDescent="0.3">
      <c r="A765" s="9" t="s">
        <v>929</v>
      </c>
      <c r="B765" s="10" t="s">
        <v>69</v>
      </c>
      <c r="C765" s="11">
        <v>45835</v>
      </c>
      <c r="D765" s="12">
        <v>437804</v>
      </c>
      <c r="E765" s="5" t="str">
        <f>_xlfn.XLOOKUP(D765,[1]!Tabela24[Código consultor],[1]!Tabela24[Consultor Venda],0,0,1)</f>
        <v>COM - PZO - SUELEN CRISTINA FREY</v>
      </c>
      <c r="F765" s="5" t="str">
        <f>_xlfn.XLOOKUP(D765,[1]!Tabela24[Código consultor],[1]!Tabela24[Canal Consultor],0,0,1)</f>
        <v>INTERNO</v>
      </c>
      <c r="G765" s="10" t="str">
        <f>_xlfn.XLOOKUP(B765,[1]!Tabela1[[Cidades ]],[1]!Tabela1[Regional],0,0,1)</f>
        <v>Maycon</v>
      </c>
      <c r="H765" s="13" t="str">
        <f>_xlfn.XLOOKUP(B765,[1]!Tabela1[[Cidades ]],[1]!Tabela1[Gerente],0,0,1)</f>
        <v>Demais coordenadores</v>
      </c>
    </row>
    <row r="766" spans="1:8" x14ac:dyDescent="0.3">
      <c r="A766" s="4" t="s">
        <v>930</v>
      </c>
      <c r="B766" s="5" t="s">
        <v>76</v>
      </c>
      <c r="C766" s="6">
        <v>45835</v>
      </c>
      <c r="D766" s="7">
        <v>869886</v>
      </c>
      <c r="E766" s="5" t="str">
        <f>_xlfn.XLOOKUP(D766,[1]!Tabela24[Código consultor],[1]!Tabela24[Consultor Venda],0,0,1)</f>
        <v>COM - CIO - DALISON HENRIQUE DOS SANTOS</v>
      </c>
      <c r="F766" s="5" t="str">
        <f>_xlfn.XLOOKUP(D766,[1]!Tabela24[Código consultor],[1]!Tabela24[Canal Consultor],0,0,1)</f>
        <v>Pap</v>
      </c>
      <c r="G766" s="5" t="str">
        <f>_xlfn.XLOOKUP(B766,[1]!Tabela1[[Cidades ]],[1]!Tabela1[Regional],0,0,1)</f>
        <v>Alisson</v>
      </c>
      <c r="H766" s="8" t="str">
        <f>_xlfn.XLOOKUP(B766,[1]!Tabela1[[Cidades ]],[1]!Tabela1[Gerente],0,0,1)</f>
        <v>Helena</v>
      </c>
    </row>
    <row r="767" spans="1:8" x14ac:dyDescent="0.3">
      <c r="A767" s="9" t="s">
        <v>1585</v>
      </c>
      <c r="B767" s="10" t="s">
        <v>30</v>
      </c>
      <c r="C767" s="11">
        <v>45835</v>
      </c>
      <c r="D767" s="12">
        <v>867522</v>
      </c>
      <c r="E767" s="5" t="str">
        <f>_xlfn.XLOOKUP(D767,[1]!Tabela24[Código consultor],[1]!Tabela24[Consultor Venda],0,0,1)</f>
        <v>COM - IGA - SANDRO CESAR MARTINS</v>
      </c>
      <c r="F767" s="5" t="str">
        <f>_xlfn.XLOOKUP(D767,[1]!Tabela24[Código consultor],[1]!Tabela24[Canal Consultor],0,0,1)</f>
        <v>Pap</v>
      </c>
      <c r="G767" s="10" t="str">
        <f>_xlfn.XLOOKUP(B767,[1]!Tabela1[[Cidades ]],[1]!Tabela1[Regional],0,0,1)</f>
        <v>Jean</v>
      </c>
      <c r="H767" s="13" t="str">
        <f>_xlfn.XLOOKUP(B767,[1]!Tabela1[[Cidades ]],[1]!Tabela1[Gerente],0,0,1)</f>
        <v>Demais coordenadores</v>
      </c>
    </row>
    <row r="768" spans="1:8" x14ac:dyDescent="0.3">
      <c r="A768" s="4" t="s">
        <v>931</v>
      </c>
      <c r="B768" s="5" t="s">
        <v>19</v>
      </c>
      <c r="C768" s="6">
        <v>45835</v>
      </c>
      <c r="D768" s="7">
        <v>882296</v>
      </c>
      <c r="E768" s="5" t="str">
        <f>_xlfn.XLOOKUP(D768,[1]!Tabela24[Código consultor],[1]!Tabela24[Consultor Venda],0,0,1)</f>
        <v>COM - CHN - ANIBAL DE SOUZA NETO</v>
      </c>
      <c r="F768" s="5" t="str">
        <f>_xlfn.XLOOKUP(D768,[1]!Tabela24[Código consultor],[1]!Tabela24[Canal Consultor],0,0,1)</f>
        <v>Pap</v>
      </c>
      <c r="G768" s="5" t="str">
        <f>_xlfn.XLOOKUP(B768,[1]!Tabela1[[Cidades ]],[1]!Tabela1[Regional],0,0,1)</f>
        <v>Magno</v>
      </c>
      <c r="H768" s="8" t="str">
        <f>_xlfn.XLOOKUP(B768,[1]!Tabela1[[Cidades ]],[1]!Tabela1[Gerente],0,0,1)</f>
        <v>Demais coordenadores</v>
      </c>
    </row>
    <row r="769" spans="1:8" x14ac:dyDescent="0.3">
      <c r="A769" s="9" t="s">
        <v>934</v>
      </c>
      <c r="B769" s="10" t="s">
        <v>39</v>
      </c>
      <c r="C769" s="11">
        <v>45835</v>
      </c>
      <c r="D769" s="12">
        <v>694166</v>
      </c>
      <c r="E769" s="5" t="str">
        <f>_xlfn.XLOOKUP(D769,[1]!Tabela24[Código consultor],[1]!Tabela24[Consultor Venda],0,0,1)</f>
        <v>DIG - CCO - CARINE CORREA SOARES</v>
      </c>
      <c r="F769" s="5" t="str">
        <f>_xlfn.XLOOKUP(D769,[1]!Tabela24[Código consultor],[1]!Tabela24[Canal Consultor],0,0,1)</f>
        <v>DIGITAL</v>
      </c>
      <c r="G769" s="10" t="str">
        <f>_xlfn.XLOOKUP(B769,[1]!Tabela1[[Cidades ]],[1]!Tabela1[Regional],0,0,1)</f>
        <v>Marcio</v>
      </c>
      <c r="H769" s="13" t="str">
        <f>_xlfn.XLOOKUP(B769,[1]!Tabela1[[Cidades ]],[1]!Tabela1[Gerente],0,0,1)</f>
        <v>Demais coordenadores</v>
      </c>
    </row>
    <row r="770" spans="1:8" x14ac:dyDescent="0.3">
      <c r="A770" s="4" t="s">
        <v>935</v>
      </c>
      <c r="B770" s="5" t="s">
        <v>27</v>
      </c>
      <c r="C770" s="6">
        <v>45835</v>
      </c>
      <c r="D770" s="7">
        <v>405</v>
      </c>
      <c r="E770" s="5" t="str">
        <f>_xlfn.XLOOKUP(D770,[1]!Tabela24[Código consultor],[1]!Tabela24[Consultor Venda],0,0,1)</f>
        <v>COM - VAA - GREICE BOEIRA DA SILVA</v>
      </c>
      <c r="F770" s="5" t="str">
        <f>_xlfn.XLOOKUP(D770,[1]!Tabela24[Código consultor],[1]!Tabela24[Canal Consultor],0,0,1)</f>
        <v>INTERNO</v>
      </c>
      <c r="G770" s="5" t="str">
        <f>_xlfn.XLOOKUP(B770,[1]!Tabela1[[Cidades ]],[1]!Tabela1[Regional],0,0,1)</f>
        <v>Alisson</v>
      </c>
      <c r="H770" s="8" t="str">
        <f>_xlfn.XLOOKUP(B770,[1]!Tabela1[[Cidades ]],[1]!Tabela1[Gerente],0,0,1)</f>
        <v>Tatiane</v>
      </c>
    </row>
    <row r="771" spans="1:8" x14ac:dyDescent="0.3">
      <c r="A771" s="9" t="s">
        <v>937</v>
      </c>
      <c r="B771" s="10" t="s">
        <v>37</v>
      </c>
      <c r="C771" s="11">
        <v>45835</v>
      </c>
      <c r="D771" s="12">
        <v>875888</v>
      </c>
      <c r="E771" s="5" t="str">
        <f>_xlfn.XLOOKUP(D771,[1]!Tabela24[Código consultor],[1]!Tabela24[Consultor Venda],0,0,1)</f>
        <v>COM - SOC - JOAO PEDRO SANTOS CRUZ</v>
      </c>
      <c r="F771" s="5" t="str">
        <f>_xlfn.XLOOKUP(D771,[1]!Tabela24[Código consultor],[1]!Tabela24[Canal Consultor],0,0,1)</f>
        <v>Pap</v>
      </c>
      <c r="G771" s="10" t="str">
        <f>_xlfn.XLOOKUP(B771,[1]!Tabela1[[Cidades ]],[1]!Tabela1[Regional],0,0,1)</f>
        <v>Jean</v>
      </c>
      <c r="H771" s="13" t="str">
        <f>_xlfn.XLOOKUP(B771,[1]!Tabela1[[Cidades ]],[1]!Tabela1[Gerente],0,0,1)</f>
        <v>Demais coordenadores</v>
      </c>
    </row>
    <row r="772" spans="1:8" x14ac:dyDescent="0.3">
      <c r="A772" s="4" t="s">
        <v>939</v>
      </c>
      <c r="B772" s="5" t="s">
        <v>31</v>
      </c>
      <c r="C772" s="6">
        <v>45835</v>
      </c>
      <c r="D772" s="7">
        <v>825670</v>
      </c>
      <c r="E772" s="5" t="str">
        <f>_xlfn.XLOOKUP(D772,[1]!Tabela24[Código consultor],[1]!Tabela24[Consultor Venda],0,0,1)</f>
        <v>COM - CCO - STEFANIE GHIDORSI</v>
      </c>
      <c r="F772" s="5" t="str">
        <f>_xlfn.XLOOKUP(D772,[1]!Tabela24[Código consultor],[1]!Tabela24[Canal Consultor],0,0,1)</f>
        <v>Pap</v>
      </c>
      <c r="G772" s="5" t="str">
        <f>_xlfn.XLOOKUP(B772,[1]!Tabela1[[Cidades ]],[1]!Tabela1[Regional],0,0,1)</f>
        <v>Maycon</v>
      </c>
      <c r="H772" s="8" t="str">
        <f>_xlfn.XLOOKUP(B772,[1]!Tabela1[[Cidades ]],[1]!Tabela1[Gerente],0,0,1)</f>
        <v>Demais coordenadores</v>
      </c>
    </row>
    <row r="773" spans="1:8" x14ac:dyDescent="0.3">
      <c r="A773" s="9" t="s">
        <v>975</v>
      </c>
      <c r="B773" s="10" t="s">
        <v>22</v>
      </c>
      <c r="C773" s="11">
        <v>45836</v>
      </c>
      <c r="D773" s="12">
        <v>165769</v>
      </c>
      <c r="E773" s="5" t="str">
        <f>_xlfn.XLOOKUP(D773,[1]!Tabela24[Código consultor],[1]!Tabela24[Consultor Venda],0,0,1)</f>
        <v>PAR - PAP - GTI - THALIA SP - THALIA DA SILVA PEREIRA</v>
      </c>
      <c r="F773" s="5" t="str">
        <f>_xlfn.XLOOKUP(D773,[1]!Tabela24[Código consultor],[1]!Tabela24[Canal Consultor],0,0,1)</f>
        <v>PAR</v>
      </c>
      <c r="G773" s="10" t="str">
        <f>_xlfn.XLOOKUP(B773,[1]!Tabela1[[Cidades ]],[1]!Tabela1[Regional],0,0,1)</f>
        <v>Magno</v>
      </c>
      <c r="H773" s="13" t="str">
        <f>_xlfn.XLOOKUP(B773,[1]!Tabela1[[Cidades ]],[1]!Tabela1[Gerente],0,0,1)</f>
        <v>Demais coordenadores</v>
      </c>
    </row>
    <row r="774" spans="1:8" x14ac:dyDescent="0.3">
      <c r="A774" s="4" t="s">
        <v>980</v>
      </c>
      <c r="B774" s="5" t="s">
        <v>26</v>
      </c>
      <c r="C774" s="6">
        <v>45836</v>
      </c>
      <c r="D774" s="7">
        <v>876162</v>
      </c>
      <c r="E774" s="5" t="str">
        <f>_xlfn.XLOOKUP(D774,[1]!Tabela24[Código consultor],[1]!Tabela24[Consultor Venda],0,0,1)</f>
        <v>COM - CAN - PAULA VITORIA ELIAS VIEIRA</v>
      </c>
      <c r="F774" s="5" t="str">
        <f>_xlfn.XLOOKUP(D774,[1]!Tabela24[Código consultor],[1]!Tabela24[Canal Consultor],0,0,1)</f>
        <v>Pap</v>
      </c>
      <c r="G774" s="5" t="str">
        <f>_xlfn.XLOOKUP(B774,[1]!Tabela1[[Cidades ]],[1]!Tabela1[Regional],0,0,1)</f>
        <v>Magno</v>
      </c>
      <c r="H774" s="8" t="str">
        <f>_xlfn.XLOOKUP(B774,[1]!Tabela1[[Cidades ]],[1]!Tabela1[Gerente],0,0,1)</f>
        <v>Demais coordenadores</v>
      </c>
    </row>
    <row r="775" spans="1:8" x14ac:dyDescent="0.3">
      <c r="A775" s="9" t="s">
        <v>981</v>
      </c>
      <c r="B775" s="10" t="s">
        <v>64</v>
      </c>
      <c r="C775" s="11">
        <v>45836</v>
      </c>
      <c r="D775" s="12">
        <v>813618</v>
      </c>
      <c r="E775" s="5" t="str">
        <f>_xlfn.XLOOKUP(D775,[1]!Tabela24[Código consultor],[1]!Tabela24[Consultor Venda],0,0,1)</f>
        <v>COM - TEB - MARCIA CRISTINA MARIANO</v>
      </c>
      <c r="F775" s="5" t="str">
        <f>_xlfn.XLOOKUP(D775,[1]!Tabela24[Código consultor],[1]!Tabela24[Canal Consultor],0,0,1)</f>
        <v>Pap</v>
      </c>
      <c r="G775" s="10" t="str">
        <f>_xlfn.XLOOKUP(B775,[1]!Tabela1[[Cidades ]],[1]!Tabela1[Regional],0,0,1)</f>
        <v>Jean</v>
      </c>
      <c r="H775" s="13" t="str">
        <f>_xlfn.XLOOKUP(B775,[1]!Tabela1[[Cidades ]],[1]!Tabela1[Gerente],0,0,1)</f>
        <v>Demais coordenadores</v>
      </c>
    </row>
    <row r="776" spans="1:8" x14ac:dyDescent="0.3">
      <c r="A776" s="4" t="s">
        <v>988</v>
      </c>
      <c r="B776" s="5" t="s">
        <v>22</v>
      </c>
      <c r="C776" s="6">
        <v>45836</v>
      </c>
      <c r="D776" s="7">
        <v>736256</v>
      </c>
      <c r="E776" s="5" t="str">
        <f>_xlfn.XLOOKUP(D776,[1]!Tabela24[Código consultor],[1]!Tabela24[Consultor Venda],0,0,1)</f>
        <v>COM - SCR - JANICE CRISTINA RODRIGUES</v>
      </c>
      <c r="F776" s="5" t="str">
        <f>_xlfn.XLOOKUP(D776,[1]!Tabela24[Código consultor],[1]!Tabela24[Canal Consultor],0,0,1)</f>
        <v>INTERNO</v>
      </c>
      <c r="G776" s="5" t="str">
        <f>_xlfn.XLOOKUP(B776,[1]!Tabela1[[Cidades ]],[1]!Tabela1[Regional],0,0,1)</f>
        <v>Magno</v>
      </c>
      <c r="H776" s="8" t="str">
        <f>_xlfn.XLOOKUP(B776,[1]!Tabela1[[Cidades ]],[1]!Tabela1[Gerente],0,0,1)</f>
        <v>Demais coordenadores</v>
      </c>
    </row>
    <row r="777" spans="1:8" x14ac:dyDescent="0.3">
      <c r="A777" s="9" t="s">
        <v>999</v>
      </c>
      <c r="B777" s="10" t="s">
        <v>53</v>
      </c>
      <c r="C777" s="11">
        <v>45836</v>
      </c>
      <c r="D777" s="12">
        <v>844068</v>
      </c>
      <c r="E777" s="5" t="str">
        <f>_xlfn.XLOOKUP(D777,[1]!Tabela24[Código consultor],[1]!Tabela24[Consultor Venda],0,0,1)</f>
        <v>COM - DOS - GABRIEL SPINDOLA RAMOS CORREA</v>
      </c>
      <c r="F777" s="5" t="str">
        <f>_xlfn.XLOOKUP(D777,[1]!Tabela24[Código consultor],[1]!Tabela24[Canal Consultor],0,0,1)</f>
        <v>Pap</v>
      </c>
      <c r="G777" s="10" t="str">
        <f>_xlfn.XLOOKUP(B777,[1]!Tabela1[[Cidades ]],[1]!Tabela1[Regional],0,0,1)</f>
        <v>Adilson</v>
      </c>
      <c r="H777" s="13" t="str">
        <f>_xlfn.XLOOKUP(B777,[1]!Tabela1[[Cidades ]],[1]!Tabela1[Gerente],0,0,1)</f>
        <v>Demais coordenadores</v>
      </c>
    </row>
    <row r="778" spans="1:8" x14ac:dyDescent="0.3">
      <c r="A778" s="4" t="s">
        <v>1035</v>
      </c>
      <c r="B778" s="5" t="s">
        <v>23</v>
      </c>
      <c r="C778" s="6">
        <v>45836</v>
      </c>
      <c r="D778" s="7">
        <v>652640</v>
      </c>
      <c r="E778" s="5" t="str">
        <f>_xlfn.XLOOKUP(D778,[1]!Tabela24[Código consultor],[1]!Tabela24[Consultor Venda],0,0,1)</f>
        <v>COM - CAN - ANDRIELE DA SILVA RANGEL</v>
      </c>
      <c r="F778" s="5" t="str">
        <f>_xlfn.XLOOKUP(D778,[1]!Tabela24[Código consultor],[1]!Tabela24[Canal Consultor],0,0,1)</f>
        <v>Pap</v>
      </c>
      <c r="G778" s="5" t="str">
        <f>_xlfn.XLOOKUP(B778,[1]!Tabela1[[Cidades ]],[1]!Tabela1[Regional],0,0,1)</f>
        <v>Magno</v>
      </c>
      <c r="H778" s="8" t="str">
        <f>_xlfn.XLOOKUP(B778,[1]!Tabela1[[Cidades ]],[1]!Tabela1[Gerente],0,0,1)</f>
        <v>Demais coordenadores</v>
      </c>
    </row>
    <row r="779" spans="1:8" x14ac:dyDescent="0.3">
      <c r="A779" s="9" t="s">
        <v>1040</v>
      </c>
      <c r="B779" s="10" t="s">
        <v>30</v>
      </c>
      <c r="C779" s="11">
        <v>45836</v>
      </c>
      <c r="D779" s="12">
        <v>883827</v>
      </c>
      <c r="E779" s="5" t="str">
        <f>_xlfn.XLOOKUP(D779,[1]!Tabela24[Código consultor],[1]!Tabela24[Consultor Venda],0,0,1)</f>
        <v>COM - IGA - YASMIN NAYARA DE ALMEIDA SILVA</v>
      </c>
      <c r="F779" s="5" t="str">
        <f>_xlfn.XLOOKUP(D779,[1]!Tabela24[Código consultor],[1]!Tabela24[Canal Consultor],0,0,1)</f>
        <v>Pap</v>
      </c>
      <c r="G779" s="10" t="str">
        <f>_xlfn.XLOOKUP(B779,[1]!Tabela1[[Cidades ]],[1]!Tabela1[Regional],0,0,1)</f>
        <v>Jean</v>
      </c>
      <c r="H779" s="13" t="str">
        <f>_xlfn.XLOOKUP(B779,[1]!Tabela1[[Cidades ]],[1]!Tabela1[Gerente],0,0,1)</f>
        <v>Demais coordenadores</v>
      </c>
    </row>
    <row r="780" spans="1:8" x14ac:dyDescent="0.3">
      <c r="A780" s="4" t="s">
        <v>968</v>
      </c>
      <c r="B780" s="5" t="s">
        <v>69</v>
      </c>
      <c r="C780" s="6">
        <v>45836</v>
      </c>
      <c r="D780" s="7">
        <v>255780</v>
      </c>
      <c r="E780" s="5" t="str">
        <f>_xlfn.XLOOKUP(D780,[1]!Tabela24[Código consultor],[1]!Tabela24[Consultor Venda],0,0,1)</f>
        <v>COM - PZO - MAIKELI CRISTINA MANFRIN</v>
      </c>
      <c r="F780" s="5" t="str">
        <f>_xlfn.XLOOKUP(D780,[1]!Tabela24[Código consultor],[1]!Tabela24[Canal Consultor],0,0,1)</f>
        <v>INTERNO</v>
      </c>
      <c r="G780" s="5" t="str">
        <f>_xlfn.XLOOKUP(B780,[1]!Tabela1[[Cidades ]],[1]!Tabela1[Regional],0,0,1)</f>
        <v>Maycon</v>
      </c>
      <c r="H780" s="8" t="str">
        <f>_xlfn.XLOOKUP(B780,[1]!Tabela1[[Cidades ]],[1]!Tabela1[Gerente],0,0,1)</f>
        <v>Demais coordenadores</v>
      </c>
    </row>
    <row r="781" spans="1:8" x14ac:dyDescent="0.3">
      <c r="A781" s="9" t="s">
        <v>969</v>
      </c>
      <c r="B781" s="10" t="s">
        <v>60</v>
      </c>
      <c r="C781" s="11">
        <v>45836</v>
      </c>
      <c r="D781" s="12">
        <v>827465</v>
      </c>
      <c r="E781" s="5" t="str">
        <f>_xlfn.XLOOKUP(D781,[1]!Tabela24[Código consultor],[1]!Tabela24[Consultor Venda],0,0,1)</f>
        <v>DIG - ATV - TAINARA RODRIGUES CORDEIRO</v>
      </c>
      <c r="F781" s="5" t="str">
        <f>_xlfn.XLOOKUP(D781,[1]!Tabela24[Código consultor],[1]!Tabela24[Canal Consultor],0,0,1)</f>
        <v>Televendas Ativo</v>
      </c>
      <c r="G781" s="10" t="str">
        <f>_xlfn.XLOOKUP(B781,[1]!Tabela1[[Cidades ]],[1]!Tabela1[Regional],0,0,1)</f>
        <v>Magno</v>
      </c>
      <c r="H781" s="13" t="str">
        <f>_xlfn.XLOOKUP(B781,[1]!Tabela1[[Cidades ]],[1]!Tabela1[Gerente],0,0,1)</f>
        <v>Demais coordenadores</v>
      </c>
    </row>
    <row r="782" spans="1:8" x14ac:dyDescent="0.3">
      <c r="A782" s="4" t="s">
        <v>970</v>
      </c>
      <c r="B782" s="5" t="s">
        <v>22</v>
      </c>
      <c r="C782" s="6">
        <v>45836</v>
      </c>
      <c r="D782" s="7">
        <v>822770</v>
      </c>
      <c r="E782" s="5" t="str">
        <f>_xlfn.XLOOKUP(D782,[1]!Tabela24[Código consultor],[1]!Tabela24[Consultor Venda],0,0,1)</f>
        <v>COM - SCR - VINICIUS ALCEMAR DA SILVA</v>
      </c>
      <c r="F782" s="5" t="str">
        <f>_xlfn.XLOOKUP(D782,[1]!Tabela24[Código consultor],[1]!Tabela24[Canal Consultor],0,0,1)</f>
        <v>Pap</v>
      </c>
      <c r="G782" s="5" t="str">
        <f>_xlfn.XLOOKUP(B782,[1]!Tabela1[[Cidades ]],[1]!Tabela1[Regional],0,0,1)</f>
        <v>Magno</v>
      </c>
      <c r="H782" s="8" t="str">
        <f>_xlfn.XLOOKUP(B782,[1]!Tabela1[[Cidades ]],[1]!Tabela1[Gerente],0,0,1)</f>
        <v>Demais coordenadores</v>
      </c>
    </row>
    <row r="783" spans="1:8" x14ac:dyDescent="0.3">
      <c r="A783" s="9" t="s">
        <v>974</v>
      </c>
      <c r="B783" s="10" t="s">
        <v>19</v>
      </c>
      <c r="C783" s="11">
        <v>45836</v>
      </c>
      <c r="D783" s="12">
        <v>868672</v>
      </c>
      <c r="E783" s="5" t="str">
        <f>_xlfn.XLOOKUP(D783,[1]!Tabela24[Código consultor],[1]!Tabela24[Consultor Venda],0,0,1)</f>
        <v>COM - CHN - KEVIN FELIPE RODRIGUES DA SILVA LOPES</v>
      </c>
      <c r="F783" s="5" t="str">
        <f>_xlfn.XLOOKUP(D783,[1]!Tabela24[Código consultor],[1]!Tabela24[Canal Consultor],0,0,1)</f>
        <v>Pap</v>
      </c>
      <c r="G783" s="10" t="str">
        <f>_xlfn.XLOOKUP(B783,[1]!Tabela1[[Cidades ]],[1]!Tabela1[Regional],0,0,1)</f>
        <v>Magno</v>
      </c>
      <c r="H783" s="13" t="str">
        <f>_xlfn.XLOOKUP(B783,[1]!Tabela1[[Cidades ]],[1]!Tabela1[Gerente],0,0,1)</f>
        <v>Demais coordenadores</v>
      </c>
    </row>
    <row r="784" spans="1:8" x14ac:dyDescent="0.3">
      <c r="A784" s="4" t="s">
        <v>147</v>
      </c>
      <c r="B784" s="5" t="s">
        <v>23</v>
      </c>
      <c r="C784" s="6">
        <v>45836</v>
      </c>
      <c r="D784" s="7">
        <v>652640</v>
      </c>
      <c r="E784" s="5" t="str">
        <f>_xlfn.XLOOKUP(D784,[1]!Tabela24[Código consultor],[1]!Tabela24[Consultor Venda],0,0,1)</f>
        <v>COM - CAN - ANDRIELE DA SILVA RANGEL</v>
      </c>
      <c r="F784" s="5" t="str">
        <f>_xlfn.XLOOKUP(D784,[1]!Tabela24[Código consultor],[1]!Tabela24[Canal Consultor],0,0,1)</f>
        <v>Pap</v>
      </c>
      <c r="G784" s="5" t="str">
        <f>_xlfn.XLOOKUP(B784,[1]!Tabela1[[Cidades ]],[1]!Tabela1[Regional],0,0,1)</f>
        <v>Magno</v>
      </c>
      <c r="H784" s="8" t="str">
        <f>_xlfn.XLOOKUP(B784,[1]!Tabela1[[Cidades ]],[1]!Tabela1[Gerente],0,0,1)</f>
        <v>Demais coordenadores</v>
      </c>
    </row>
    <row r="785" spans="1:8" x14ac:dyDescent="0.3">
      <c r="A785" s="9" t="s">
        <v>217</v>
      </c>
      <c r="B785" s="10" t="s">
        <v>19</v>
      </c>
      <c r="C785" s="11">
        <v>45836</v>
      </c>
      <c r="D785" s="12">
        <v>725067</v>
      </c>
      <c r="E785" s="5" t="str">
        <f>_xlfn.XLOOKUP(D785,[1]!Tabela24[Código consultor],[1]!Tabela24[Consultor Venda],0,0,1)</f>
        <v>COM - CHN - MICHELY SANTOS DOS SANTOS</v>
      </c>
      <c r="F785" s="5" t="str">
        <f>_xlfn.XLOOKUP(D785,[1]!Tabela24[Código consultor],[1]!Tabela24[Canal Consultor],0,0,1)</f>
        <v>Pap</v>
      </c>
      <c r="G785" s="10" t="str">
        <f>_xlfn.XLOOKUP(B785,[1]!Tabela1[[Cidades ]],[1]!Tabela1[Regional],0,0,1)</f>
        <v>Magno</v>
      </c>
      <c r="H785" s="13" t="str">
        <f>_xlfn.XLOOKUP(B785,[1]!Tabela1[[Cidades ]],[1]!Tabela1[Gerente],0,0,1)</f>
        <v>Demais coordenadores</v>
      </c>
    </row>
    <row r="786" spans="1:8" x14ac:dyDescent="0.3">
      <c r="A786" s="4" t="s">
        <v>978</v>
      </c>
      <c r="B786" s="5" t="s">
        <v>23</v>
      </c>
      <c r="C786" s="6">
        <v>45836</v>
      </c>
      <c r="D786" s="7">
        <v>861705</v>
      </c>
      <c r="E786" s="5" t="str">
        <f>_xlfn.XLOOKUP(D786,[1]!Tabela24[Código consultor],[1]!Tabela24[Consultor Venda],0,0,1)</f>
        <v>PAR - COM - PAP - TQR - ERIKA DE OLIVEIRA GALLE</v>
      </c>
      <c r="F786" s="5" t="str">
        <f>_xlfn.XLOOKUP(D786,[1]!Tabela24[Código consultor],[1]!Tabela24[Canal Consultor],0,0,1)</f>
        <v>PAR</v>
      </c>
      <c r="G786" s="5" t="str">
        <f>_xlfn.XLOOKUP(B786,[1]!Tabela1[[Cidades ]],[1]!Tabela1[Regional],0,0,1)</f>
        <v>Magno</v>
      </c>
      <c r="H786" s="8" t="str">
        <f>_xlfn.XLOOKUP(B786,[1]!Tabela1[[Cidades ]],[1]!Tabela1[Gerente],0,0,1)</f>
        <v>Demais coordenadores</v>
      </c>
    </row>
    <row r="787" spans="1:8" x14ac:dyDescent="0.3">
      <c r="A787" s="9" t="s">
        <v>982</v>
      </c>
      <c r="B787" s="10" t="s">
        <v>42</v>
      </c>
      <c r="C787" s="11">
        <v>45836</v>
      </c>
      <c r="D787" s="12">
        <v>878851</v>
      </c>
      <c r="E787" s="5" t="str">
        <f>_xlfn.XLOOKUP(D787,[1]!Tabela24[Código consultor],[1]!Tabela24[Consultor Venda],0,0,1)</f>
        <v>COM - CDA - ANDERSON DE OLIVEIRA</v>
      </c>
      <c r="F787" s="5" t="str">
        <f>_xlfn.XLOOKUP(D787,[1]!Tabela24[Código consultor],[1]!Tabela24[Canal Consultor],0,0,1)</f>
        <v>Pap</v>
      </c>
      <c r="G787" s="10" t="str">
        <f>_xlfn.XLOOKUP(B787,[1]!Tabela1[[Cidades ]],[1]!Tabela1[Regional],0,0,1)</f>
        <v>Maycon</v>
      </c>
      <c r="H787" s="13" t="str">
        <f>_xlfn.XLOOKUP(B787,[1]!Tabela1[[Cidades ]],[1]!Tabela1[Gerente],0,0,1)</f>
        <v>Demais coordenadores</v>
      </c>
    </row>
    <row r="788" spans="1:8" x14ac:dyDescent="0.3">
      <c r="A788" s="4" t="s">
        <v>986</v>
      </c>
      <c r="B788" s="5" t="s">
        <v>50</v>
      </c>
      <c r="C788" s="6">
        <v>45836</v>
      </c>
      <c r="D788" s="7">
        <v>794227</v>
      </c>
      <c r="E788" s="5" t="str">
        <f>_xlfn.XLOOKUP(D788,[1]!Tabela24[Código consultor],[1]!Tabela24[Consultor Venda],0,0,1)</f>
        <v>PAR - PAP - TECH PERFORMANCE - Dario de Oliveira</v>
      </c>
      <c r="F788" s="5" t="str">
        <f>_xlfn.XLOOKUP(D788,[1]!Tabela24[Código consultor],[1]!Tabela24[Canal Consultor],0,0,1)</f>
        <v>Par</v>
      </c>
      <c r="G788" s="5" t="str">
        <f>_xlfn.XLOOKUP(B788,[1]!Tabela1[[Cidades ]],[1]!Tabela1[Regional],0,0,1)</f>
        <v>Marcio</v>
      </c>
      <c r="H788" s="8" t="str">
        <f>_xlfn.XLOOKUP(B788,[1]!Tabela1[[Cidades ]],[1]!Tabela1[Gerente],0,0,1)</f>
        <v>Demais coordenadores</v>
      </c>
    </row>
    <row r="789" spans="1:8" x14ac:dyDescent="0.3">
      <c r="A789" s="9" t="s">
        <v>1000</v>
      </c>
      <c r="B789" s="10" t="s">
        <v>23</v>
      </c>
      <c r="C789" s="11">
        <v>45836</v>
      </c>
      <c r="D789" s="12">
        <v>861705</v>
      </c>
      <c r="E789" s="5" t="str">
        <f>_xlfn.XLOOKUP(D789,[1]!Tabela24[Código consultor],[1]!Tabela24[Consultor Venda],0,0,1)</f>
        <v>PAR - COM - PAP - TQR - ERIKA DE OLIVEIRA GALLE</v>
      </c>
      <c r="F789" s="5" t="str">
        <f>_xlfn.XLOOKUP(D789,[1]!Tabela24[Código consultor],[1]!Tabela24[Canal Consultor],0,0,1)</f>
        <v>PAR</v>
      </c>
      <c r="G789" s="10" t="str">
        <f>_xlfn.XLOOKUP(B789,[1]!Tabela1[[Cidades ]],[1]!Tabela1[Regional],0,0,1)</f>
        <v>Magno</v>
      </c>
      <c r="H789" s="13" t="str">
        <f>_xlfn.XLOOKUP(B789,[1]!Tabela1[[Cidades ]],[1]!Tabela1[Gerente],0,0,1)</f>
        <v>Demais coordenadores</v>
      </c>
    </row>
    <row r="790" spans="1:8" x14ac:dyDescent="0.3">
      <c r="A790" s="4" t="s">
        <v>1008</v>
      </c>
      <c r="B790" s="5" t="s">
        <v>31</v>
      </c>
      <c r="C790" s="6">
        <v>45836</v>
      </c>
      <c r="D790" s="7">
        <v>600710</v>
      </c>
      <c r="E790" s="5" t="str">
        <f>_xlfn.XLOOKUP(D790,[1]!Tabela24[Código consultor],[1]!Tabela24[Consultor Venda],0,0,1)</f>
        <v>DIG - CCO - BRUNA BALBINOTTI</v>
      </c>
      <c r="F790" s="5" t="str">
        <f>_xlfn.XLOOKUP(D790,[1]!Tabela24[Código consultor],[1]!Tabela24[Canal Consultor],0,0,1)</f>
        <v>DIGITAL</v>
      </c>
      <c r="G790" s="5" t="str">
        <f>_xlfn.XLOOKUP(B790,[1]!Tabela1[[Cidades ]],[1]!Tabela1[Regional],0,0,1)</f>
        <v>Maycon</v>
      </c>
      <c r="H790" s="8" t="str">
        <f>_xlfn.XLOOKUP(B790,[1]!Tabela1[[Cidades ]],[1]!Tabela1[Gerente],0,0,1)</f>
        <v>Demais coordenadores</v>
      </c>
    </row>
    <row r="791" spans="1:8" x14ac:dyDescent="0.3">
      <c r="A791" s="9" t="s">
        <v>1010</v>
      </c>
      <c r="B791" s="10" t="s">
        <v>46</v>
      </c>
      <c r="C791" s="11">
        <v>45836</v>
      </c>
      <c r="D791" s="12">
        <v>683349</v>
      </c>
      <c r="E791" s="5" t="str">
        <f>_xlfn.XLOOKUP(D791,[1]!Tabela24[Código consultor],[1]!Tabela24[Consultor Venda],0,0,1)</f>
        <v>DIG - CCO - EVELLIN SALOA MAIA DA CONCEICAO</v>
      </c>
      <c r="F791" s="5" t="str">
        <f>_xlfn.XLOOKUP(D791,[1]!Tabela24[Código consultor],[1]!Tabela24[Canal Consultor],0,0,1)</f>
        <v>DIGITAL</v>
      </c>
      <c r="G791" s="10" t="str">
        <f>_xlfn.XLOOKUP(B791,[1]!Tabela1[[Cidades ]],[1]!Tabela1[Regional],0,0,1)</f>
        <v>Magno</v>
      </c>
      <c r="H791" s="13" t="str">
        <f>_xlfn.XLOOKUP(B791,[1]!Tabela1[[Cidades ]],[1]!Tabela1[Gerente],0,0,1)</f>
        <v>Demais coordenadores</v>
      </c>
    </row>
    <row r="792" spans="1:8" x14ac:dyDescent="0.3">
      <c r="A792" s="4" t="s">
        <v>1013</v>
      </c>
      <c r="B792" s="5" t="s">
        <v>28</v>
      </c>
      <c r="C792" s="6">
        <v>45836</v>
      </c>
      <c r="D792" s="7">
        <v>574996</v>
      </c>
      <c r="E792" s="5" t="str">
        <f>_xlfn.XLOOKUP(D792,[1]!Tabela24[Código consultor],[1]!Tabela24[Consultor Venda],0,0,1)</f>
        <v>COM - LJO - ANA PAULA RODRIGUES</v>
      </c>
      <c r="F792" s="5" t="str">
        <f>_xlfn.XLOOKUP(D792,[1]!Tabela24[Código consultor],[1]!Tabela24[Canal Consultor],0,0,1)</f>
        <v>INTERNO</v>
      </c>
      <c r="G792" s="5" t="str">
        <f>_xlfn.XLOOKUP(B792,[1]!Tabela1[[Cidades ]],[1]!Tabela1[Regional],0,0,1)</f>
        <v>Magno</v>
      </c>
      <c r="H792" s="8" t="str">
        <f>_xlfn.XLOOKUP(B792,[1]!Tabela1[[Cidades ]],[1]!Tabela1[Gerente],0,0,1)</f>
        <v>Demais coordenadores</v>
      </c>
    </row>
    <row r="793" spans="1:8" x14ac:dyDescent="0.3">
      <c r="A793" s="9" t="s">
        <v>1014</v>
      </c>
      <c r="B793" s="10" t="s">
        <v>12</v>
      </c>
      <c r="C793" s="11">
        <v>45836</v>
      </c>
      <c r="D793" s="12">
        <v>791714</v>
      </c>
      <c r="E793" s="5" t="str">
        <f>_xlfn.XLOOKUP(D793,[1]!Tabela24[Código consultor],[1]!Tabela24[Consultor Venda],0,0,1)</f>
        <v>O&amp;M - PGO - TEC - RUAN EDELBERG COELHO</v>
      </c>
      <c r="F793" s="5" t="str">
        <f>_xlfn.XLOOKUP(D793,[1]!Tabela24[Código consultor],[1]!Tabela24[Canal Consultor],0,0,1)</f>
        <v>INTERNO</v>
      </c>
      <c r="G793" s="10" t="str">
        <f>_xlfn.XLOOKUP(B793,[1]!Tabela1[[Cidades ]],[1]!Tabela1[Regional],0,0,1)</f>
        <v>Jean</v>
      </c>
      <c r="H793" s="13" t="str">
        <f>_xlfn.XLOOKUP(B793,[1]!Tabela1[[Cidades ]],[1]!Tabela1[Gerente],0,0,1)</f>
        <v>Demais coordenadores</v>
      </c>
    </row>
    <row r="794" spans="1:8" x14ac:dyDescent="0.3">
      <c r="A794" s="4" t="s">
        <v>1015</v>
      </c>
      <c r="B794" s="5" t="s">
        <v>64</v>
      </c>
      <c r="C794" s="6">
        <v>45836</v>
      </c>
      <c r="D794" s="7">
        <v>843112</v>
      </c>
      <c r="E794" s="5" t="str">
        <f>_xlfn.XLOOKUP(D794,[1]!Tabela24[Código consultor],[1]!Tabela24[Consultor Venda],0,0,1)</f>
        <v>COM - TEB - SANDRO GIMONSKI DE SOUZA</v>
      </c>
      <c r="F794" s="5" t="str">
        <f>_xlfn.XLOOKUP(D794,[1]!Tabela24[Código consultor],[1]!Tabela24[Canal Consultor],0,0,1)</f>
        <v>Pap</v>
      </c>
      <c r="G794" s="5" t="str">
        <f>_xlfn.XLOOKUP(B794,[1]!Tabela1[[Cidades ]],[1]!Tabela1[Regional],0,0,1)</f>
        <v>Jean</v>
      </c>
      <c r="H794" s="8" t="str">
        <f>_xlfn.XLOOKUP(B794,[1]!Tabela1[[Cidades ]],[1]!Tabela1[Gerente],0,0,1)</f>
        <v>Demais coordenadores</v>
      </c>
    </row>
    <row r="795" spans="1:8" x14ac:dyDescent="0.3">
      <c r="A795" s="9" t="s">
        <v>1022</v>
      </c>
      <c r="B795" s="10" t="s">
        <v>42</v>
      </c>
      <c r="C795" s="11">
        <v>45836</v>
      </c>
      <c r="D795" s="12">
        <v>683349</v>
      </c>
      <c r="E795" s="5" t="str">
        <f>_xlfn.XLOOKUP(D795,[1]!Tabela24[Código consultor],[1]!Tabela24[Consultor Venda],0,0,1)</f>
        <v>DIG - CCO - EVELLIN SALOA MAIA DA CONCEICAO</v>
      </c>
      <c r="F795" s="5" t="str">
        <f>_xlfn.XLOOKUP(D795,[1]!Tabela24[Código consultor],[1]!Tabela24[Canal Consultor],0,0,1)</f>
        <v>DIGITAL</v>
      </c>
      <c r="G795" s="10" t="str">
        <f>_xlfn.XLOOKUP(B795,[1]!Tabela1[[Cidades ]],[1]!Tabela1[Regional],0,0,1)</f>
        <v>Maycon</v>
      </c>
      <c r="H795" s="13" t="str">
        <f>_xlfn.XLOOKUP(B795,[1]!Tabela1[[Cidades ]],[1]!Tabela1[Gerente],0,0,1)</f>
        <v>Demais coordenadores</v>
      </c>
    </row>
    <row r="796" spans="1:8" x14ac:dyDescent="0.3">
      <c r="A796" s="4" t="s">
        <v>1024</v>
      </c>
      <c r="B796" s="5" t="s">
        <v>37</v>
      </c>
      <c r="C796" s="6">
        <v>45836</v>
      </c>
      <c r="D796" s="7">
        <v>873649</v>
      </c>
      <c r="E796" s="5" t="str">
        <f>_xlfn.XLOOKUP(D796,[1]!Tabela24[Código consultor],[1]!Tabela24[Consultor Venda],0,0,1)</f>
        <v>COM - SOC - LEONARDO GUSTAVO TEIXEIRA DOS SANTOS</v>
      </c>
      <c r="F796" s="5" t="str">
        <f>_xlfn.XLOOKUP(D796,[1]!Tabela24[Código consultor],[1]!Tabela24[Canal Consultor],0,0,1)</f>
        <v>Pap</v>
      </c>
      <c r="G796" s="5" t="str">
        <f>_xlfn.XLOOKUP(B796,[1]!Tabela1[[Cidades ]],[1]!Tabela1[Regional],0,0,1)</f>
        <v>Jean</v>
      </c>
      <c r="H796" s="8" t="str">
        <f>_xlfn.XLOOKUP(B796,[1]!Tabela1[[Cidades ]],[1]!Tabela1[Gerente],0,0,1)</f>
        <v>Demais coordenadores</v>
      </c>
    </row>
    <row r="797" spans="1:8" x14ac:dyDescent="0.3">
      <c r="A797" s="9" t="s">
        <v>1028</v>
      </c>
      <c r="B797" s="10" t="s">
        <v>19</v>
      </c>
      <c r="C797" s="11">
        <v>45836</v>
      </c>
      <c r="D797" s="12">
        <v>767508</v>
      </c>
      <c r="E797" s="5" t="str">
        <f>_xlfn.XLOOKUP(D797,[1]!Tabela24[Código consultor],[1]!Tabela24[Consultor Venda],0,0,1)</f>
        <v>COM - CAN - JULIANA DA SILVA ASSUNCAO</v>
      </c>
      <c r="F797" s="5" t="str">
        <f>_xlfn.XLOOKUP(D797,[1]!Tabela24[Código consultor],[1]!Tabela24[Canal Consultor],0,0,1)</f>
        <v>Pap</v>
      </c>
      <c r="G797" s="10" t="str">
        <f>_xlfn.XLOOKUP(B797,[1]!Tabela1[[Cidades ]],[1]!Tabela1[Regional],0,0,1)</f>
        <v>Magno</v>
      </c>
      <c r="H797" s="13" t="str">
        <f>_xlfn.XLOOKUP(B797,[1]!Tabela1[[Cidades ]],[1]!Tabela1[Gerente],0,0,1)</f>
        <v>Demais coordenadores</v>
      </c>
    </row>
    <row r="798" spans="1:8" x14ac:dyDescent="0.3">
      <c r="A798" s="4" t="s">
        <v>1033</v>
      </c>
      <c r="B798" s="5" t="s">
        <v>23</v>
      </c>
      <c r="C798" s="6">
        <v>45836</v>
      </c>
      <c r="D798" s="7">
        <v>876162</v>
      </c>
      <c r="E798" s="5" t="str">
        <f>_xlfn.XLOOKUP(D798,[1]!Tabela24[Código consultor],[1]!Tabela24[Consultor Venda],0,0,1)</f>
        <v>COM - CAN - PAULA VITORIA ELIAS VIEIRA</v>
      </c>
      <c r="F798" s="5" t="str">
        <f>_xlfn.XLOOKUP(D798,[1]!Tabela24[Código consultor],[1]!Tabela24[Canal Consultor],0,0,1)</f>
        <v>Pap</v>
      </c>
      <c r="G798" s="5" t="str">
        <f>_xlfn.XLOOKUP(B798,[1]!Tabela1[[Cidades ]],[1]!Tabela1[Regional],0,0,1)</f>
        <v>Magno</v>
      </c>
      <c r="H798" s="8" t="str">
        <f>_xlfn.XLOOKUP(B798,[1]!Tabela1[[Cidades ]],[1]!Tabela1[Gerente],0,0,1)</f>
        <v>Demais coordenadores</v>
      </c>
    </row>
    <row r="799" spans="1:8" x14ac:dyDescent="0.3">
      <c r="A799" s="9" t="s">
        <v>1034</v>
      </c>
      <c r="B799" s="10" t="s">
        <v>11</v>
      </c>
      <c r="C799" s="11">
        <v>45836</v>
      </c>
      <c r="D799" s="12">
        <v>861705</v>
      </c>
      <c r="E799" s="5" t="str">
        <f>_xlfn.XLOOKUP(D799,[1]!Tabela24[Código consultor],[1]!Tabela24[Consultor Venda],0,0,1)</f>
        <v>PAR - COM - PAP - TQR - ERIKA DE OLIVEIRA GALLE</v>
      </c>
      <c r="F799" s="5" t="str">
        <f>_xlfn.XLOOKUP(D799,[1]!Tabela24[Código consultor],[1]!Tabela24[Canal Consultor],0,0,1)</f>
        <v>PAR</v>
      </c>
      <c r="G799" s="10" t="str">
        <f>_xlfn.XLOOKUP(B799,[1]!Tabela1[[Cidades ]],[1]!Tabela1[Regional],0,0,1)</f>
        <v>Magno</v>
      </c>
      <c r="H799" s="13" t="str">
        <f>_xlfn.XLOOKUP(B799,[1]!Tabela1[[Cidades ]],[1]!Tabela1[Gerente],0,0,1)</f>
        <v>Demais coordenadores</v>
      </c>
    </row>
    <row r="800" spans="1:8" x14ac:dyDescent="0.3">
      <c r="A800" s="4" t="s">
        <v>1036</v>
      </c>
      <c r="B800" s="5" t="s">
        <v>53</v>
      </c>
      <c r="C800" s="6">
        <v>45836</v>
      </c>
      <c r="D800" s="7">
        <v>623344</v>
      </c>
      <c r="E800" s="5" t="str">
        <f>_xlfn.XLOOKUP(D800,[1]!Tabela24[Código consultor],[1]!Tabela24[Consultor Venda],0,0,1)</f>
        <v>COM - DOS - EDUARDO ALVARENGA CARDOSO VIEIRA</v>
      </c>
      <c r="F800" s="5" t="str">
        <f>_xlfn.XLOOKUP(D800,[1]!Tabela24[Código consultor],[1]!Tabela24[Canal Consultor],0,0,1)</f>
        <v>Pap</v>
      </c>
      <c r="G800" s="5" t="str">
        <f>_xlfn.XLOOKUP(B800,[1]!Tabela1[[Cidades ]],[1]!Tabela1[Regional],0,0,1)</f>
        <v>Adilson</v>
      </c>
      <c r="H800" s="8" t="str">
        <f>_xlfn.XLOOKUP(B800,[1]!Tabela1[[Cidades ]],[1]!Tabela1[Gerente],0,0,1)</f>
        <v>Demais coordenadores</v>
      </c>
    </row>
    <row r="801" spans="1:8" x14ac:dyDescent="0.3">
      <c r="A801" s="9" t="s">
        <v>1038</v>
      </c>
      <c r="B801" s="10" t="s">
        <v>23</v>
      </c>
      <c r="C801" s="11">
        <v>45836</v>
      </c>
      <c r="D801" s="12">
        <v>876162</v>
      </c>
      <c r="E801" s="5" t="str">
        <f>_xlfn.XLOOKUP(D801,[1]!Tabela24[Código consultor],[1]!Tabela24[Consultor Venda],0,0,1)</f>
        <v>COM - CAN - PAULA VITORIA ELIAS VIEIRA</v>
      </c>
      <c r="F801" s="5" t="str">
        <f>_xlfn.XLOOKUP(D801,[1]!Tabela24[Código consultor],[1]!Tabela24[Canal Consultor],0,0,1)</f>
        <v>Pap</v>
      </c>
      <c r="G801" s="10" t="str">
        <f>_xlfn.XLOOKUP(B801,[1]!Tabela1[[Cidades ]],[1]!Tabela1[Regional],0,0,1)</f>
        <v>Magno</v>
      </c>
      <c r="H801" s="13" t="str">
        <f>_xlfn.XLOOKUP(B801,[1]!Tabela1[[Cidades ]],[1]!Tabela1[Gerente],0,0,1)</f>
        <v>Demais coordenadores</v>
      </c>
    </row>
    <row r="802" spans="1:8" x14ac:dyDescent="0.3">
      <c r="A802" s="4" t="s">
        <v>1044</v>
      </c>
      <c r="B802" s="5" t="s">
        <v>64</v>
      </c>
      <c r="C802" s="6">
        <v>45836</v>
      </c>
      <c r="D802" s="7">
        <v>559912</v>
      </c>
      <c r="E802" s="5" t="str">
        <f>_xlfn.XLOOKUP(D802,[1]!Tabela24[Código consultor],[1]!Tabela24[Consultor Venda],0,0,1)</f>
        <v>COM - TEB - DEVAIR DE JESUS TALEVI</v>
      </c>
      <c r="F802" s="5" t="str">
        <f>_xlfn.XLOOKUP(D802,[1]!Tabela24[Código consultor],[1]!Tabela24[Canal Consultor],0,0,1)</f>
        <v>Pap</v>
      </c>
      <c r="G802" s="5" t="str">
        <f>_xlfn.XLOOKUP(B802,[1]!Tabela1[[Cidades ]],[1]!Tabela1[Regional],0,0,1)</f>
        <v>Jean</v>
      </c>
      <c r="H802" s="8" t="str">
        <f>_xlfn.XLOOKUP(B802,[1]!Tabela1[[Cidades ]],[1]!Tabela1[Gerente],0,0,1)</f>
        <v>Demais coordenadores</v>
      </c>
    </row>
    <row r="803" spans="1:8" x14ac:dyDescent="0.3">
      <c r="A803" s="9" t="s">
        <v>1045</v>
      </c>
      <c r="B803" s="10" t="s">
        <v>53</v>
      </c>
      <c r="C803" s="11">
        <v>45836</v>
      </c>
      <c r="D803" s="12">
        <v>844068</v>
      </c>
      <c r="E803" s="5" t="str">
        <f>_xlfn.XLOOKUP(D803,[1]!Tabela24[Código consultor],[1]!Tabela24[Consultor Venda],0,0,1)</f>
        <v>COM - DOS - GABRIEL SPINDOLA RAMOS CORREA</v>
      </c>
      <c r="F803" s="5" t="str">
        <f>_xlfn.XLOOKUP(D803,[1]!Tabela24[Código consultor],[1]!Tabela24[Canal Consultor],0,0,1)</f>
        <v>Pap</v>
      </c>
      <c r="G803" s="10" t="str">
        <f>_xlfn.XLOOKUP(B803,[1]!Tabela1[[Cidades ]],[1]!Tabela1[Regional],0,0,1)</f>
        <v>Adilson</v>
      </c>
      <c r="H803" s="13" t="str">
        <f>_xlfn.XLOOKUP(B803,[1]!Tabela1[[Cidades ]],[1]!Tabela1[Gerente],0,0,1)</f>
        <v>Demais coordenadores</v>
      </c>
    </row>
    <row r="804" spans="1:8" x14ac:dyDescent="0.3">
      <c r="A804" s="4" t="s">
        <v>1046</v>
      </c>
      <c r="B804" s="5" t="s">
        <v>32</v>
      </c>
      <c r="C804" s="6">
        <v>45836</v>
      </c>
      <c r="D804" s="7">
        <v>576121</v>
      </c>
      <c r="E804" s="5" t="str">
        <f>_xlfn.XLOOKUP(D804,[1]!Tabela24[Código consultor],[1]!Tabela24[Consultor Venda],0,0,1)</f>
        <v>COM - IGA - LEONARDO XAVIER GOMES</v>
      </c>
      <c r="F804" s="5" t="str">
        <f>_xlfn.XLOOKUP(D804,[1]!Tabela24[Código consultor],[1]!Tabela24[Canal Consultor],0,0,1)</f>
        <v>Pap</v>
      </c>
      <c r="G804" s="5" t="str">
        <f>_xlfn.XLOOKUP(B804,[1]!Tabela1[[Cidades ]],[1]!Tabela1[Regional],0,0,1)</f>
        <v>Jean</v>
      </c>
      <c r="H804" s="8" t="str">
        <f>_xlfn.XLOOKUP(B804,[1]!Tabela1[[Cidades ]],[1]!Tabela1[Gerente],0,0,1)</f>
        <v>Demais coordenadores</v>
      </c>
    </row>
    <row r="805" spans="1:8" x14ac:dyDescent="0.3">
      <c r="A805" s="9" t="s">
        <v>1047</v>
      </c>
      <c r="B805" s="10" t="s">
        <v>23</v>
      </c>
      <c r="C805" s="11">
        <v>45836</v>
      </c>
      <c r="D805" s="12">
        <v>652640</v>
      </c>
      <c r="E805" s="5" t="str">
        <f>_xlfn.XLOOKUP(D805,[1]!Tabela24[Código consultor],[1]!Tabela24[Consultor Venda],0,0,1)</f>
        <v>COM - CAN - ANDRIELE DA SILVA RANGEL</v>
      </c>
      <c r="F805" s="5" t="str">
        <f>_xlfn.XLOOKUP(D805,[1]!Tabela24[Código consultor],[1]!Tabela24[Canal Consultor],0,0,1)</f>
        <v>Pap</v>
      </c>
      <c r="G805" s="10" t="str">
        <f>_xlfn.XLOOKUP(B805,[1]!Tabela1[[Cidades ]],[1]!Tabela1[Regional],0,0,1)</f>
        <v>Magno</v>
      </c>
      <c r="H805" s="13" t="str">
        <f>_xlfn.XLOOKUP(B805,[1]!Tabela1[[Cidades ]],[1]!Tabela1[Gerente],0,0,1)</f>
        <v>Demais coordenadores</v>
      </c>
    </row>
    <row r="806" spans="1:8" x14ac:dyDescent="0.3">
      <c r="A806" s="4" t="s">
        <v>200</v>
      </c>
      <c r="B806" s="5" t="s">
        <v>39</v>
      </c>
      <c r="C806" s="6">
        <v>45836</v>
      </c>
      <c r="D806" s="7">
        <v>862247</v>
      </c>
      <c r="E806" s="5" t="str">
        <f>_xlfn.XLOOKUP(D806,[1]!Tabela24[Código consultor],[1]!Tabela24[Consultor Venda],0,0,1)</f>
        <v>COM - LGS - EVELLYN NUNES WESTPHAL</v>
      </c>
      <c r="F806" s="5" t="str">
        <f>_xlfn.XLOOKUP(D806,[1]!Tabela24[Código consultor],[1]!Tabela24[Canal Consultor],0,0,1)</f>
        <v>Pap</v>
      </c>
      <c r="G806" s="5" t="str">
        <f>_xlfn.XLOOKUP(B806,[1]!Tabela1[[Cidades ]],[1]!Tabela1[Regional],0,0,1)</f>
        <v>Marcio</v>
      </c>
      <c r="H806" s="8" t="str">
        <f>_xlfn.XLOOKUP(B806,[1]!Tabela1[[Cidades ]],[1]!Tabela1[Gerente],0,0,1)</f>
        <v>Demais coordenadores</v>
      </c>
    </row>
    <row r="807" spans="1:8" x14ac:dyDescent="0.3">
      <c r="A807" s="9" t="s">
        <v>965</v>
      </c>
      <c r="B807" s="10" t="s">
        <v>67</v>
      </c>
      <c r="C807" s="11">
        <v>45836</v>
      </c>
      <c r="D807" s="12">
        <v>177442</v>
      </c>
      <c r="E807" s="5" t="str">
        <f>_xlfn.XLOOKUP(D807,[1]!Tabela24[Código consultor],[1]!Tabela24[Consultor Venda],0,0,1)</f>
        <v>COM - XXE - MARCOS MEZZOMO</v>
      </c>
      <c r="F807" s="5" t="str">
        <f>_xlfn.XLOOKUP(D807,[1]!Tabela24[Código consultor],[1]!Tabela24[Canal Consultor],0,0,1)</f>
        <v>Pap</v>
      </c>
      <c r="G807" s="10" t="str">
        <f>_xlfn.XLOOKUP(B807,[1]!Tabela1[[Cidades ]],[1]!Tabela1[Regional],0,0,1)</f>
        <v>Maycon</v>
      </c>
      <c r="H807" s="13" t="str">
        <f>_xlfn.XLOOKUP(B807,[1]!Tabela1[[Cidades ]],[1]!Tabela1[Gerente],0,0,1)</f>
        <v>Demais coordenadores</v>
      </c>
    </row>
    <row r="808" spans="1:8" x14ac:dyDescent="0.3">
      <c r="A808" s="4" t="s">
        <v>108</v>
      </c>
      <c r="B808" s="5" t="s">
        <v>30</v>
      </c>
      <c r="C808" s="6">
        <v>45836</v>
      </c>
      <c r="D808" s="7">
        <v>867522</v>
      </c>
      <c r="E808" s="5" t="str">
        <f>_xlfn.XLOOKUP(D808,[1]!Tabela24[Código consultor],[1]!Tabela24[Consultor Venda],0,0,1)</f>
        <v>COM - IGA - SANDRO CESAR MARTINS</v>
      </c>
      <c r="F808" s="5" t="str">
        <f>_xlfn.XLOOKUP(D808,[1]!Tabela24[Código consultor],[1]!Tabela24[Canal Consultor],0,0,1)</f>
        <v>Pap</v>
      </c>
      <c r="G808" s="5" t="str">
        <f>_xlfn.XLOOKUP(B808,[1]!Tabela1[[Cidades ]],[1]!Tabela1[Regional],0,0,1)</f>
        <v>Jean</v>
      </c>
      <c r="H808" s="8" t="str">
        <f>_xlfn.XLOOKUP(B808,[1]!Tabela1[[Cidades ]],[1]!Tabela1[Gerente],0,0,1)</f>
        <v>Demais coordenadores</v>
      </c>
    </row>
    <row r="809" spans="1:8" x14ac:dyDescent="0.3">
      <c r="A809" s="9" t="s">
        <v>966</v>
      </c>
      <c r="B809" s="10" t="s">
        <v>32</v>
      </c>
      <c r="C809" s="11">
        <v>45836</v>
      </c>
      <c r="D809" s="12">
        <v>873643</v>
      </c>
      <c r="E809" s="5" t="str">
        <f>_xlfn.XLOOKUP(D809,[1]!Tabela24[Código consultor],[1]!Tabela24[Consultor Venda],0,0,1)</f>
        <v>COM - IGA - EMILI JULIANA DE OLIVEIRA SOUTO</v>
      </c>
      <c r="F809" s="5" t="str">
        <f>_xlfn.XLOOKUP(D809,[1]!Tabela24[Código consultor],[1]!Tabela24[Canal Consultor],0,0,1)</f>
        <v>INTERNO</v>
      </c>
      <c r="G809" s="10" t="str">
        <f>_xlfn.XLOOKUP(B809,[1]!Tabela1[[Cidades ]],[1]!Tabela1[Regional],0,0,1)</f>
        <v>Jean</v>
      </c>
      <c r="H809" s="13" t="str">
        <f>_xlfn.XLOOKUP(B809,[1]!Tabela1[[Cidades ]],[1]!Tabela1[Gerente],0,0,1)</f>
        <v>Demais coordenadores</v>
      </c>
    </row>
    <row r="810" spans="1:8" x14ac:dyDescent="0.3">
      <c r="A810" s="4" t="s">
        <v>184</v>
      </c>
      <c r="B810" s="5" t="s">
        <v>59</v>
      </c>
      <c r="C810" s="6">
        <v>45836</v>
      </c>
      <c r="D810" s="7">
        <v>837937</v>
      </c>
      <c r="E810" s="5" t="str">
        <f>_xlfn.XLOOKUP(D810,[1]!Tabela24[Código consultor],[1]!Tabela24[Consultor Venda],0,0,1)</f>
        <v>COM - UMR - NAUMI DOS SANTOS DOMINGUES</v>
      </c>
      <c r="F810" s="5" t="str">
        <f>_xlfn.XLOOKUP(D810,[1]!Tabela24[Código consultor],[1]!Tabela24[Canal Consultor],0,0,1)</f>
        <v>INTERNO</v>
      </c>
      <c r="G810" s="5" t="str">
        <f>_xlfn.XLOOKUP(B810,[1]!Tabela1[[Cidades ]],[1]!Tabela1[Regional],0,0,1)</f>
        <v>Adilson</v>
      </c>
      <c r="H810" s="8" t="str">
        <f>_xlfn.XLOOKUP(B810,[1]!Tabela1[[Cidades ]],[1]!Tabela1[Gerente],0,0,1)</f>
        <v>Demais coordenadores</v>
      </c>
    </row>
    <row r="811" spans="1:8" x14ac:dyDescent="0.3">
      <c r="A811" s="9" t="s">
        <v>967</v>
      </c>
      <c r="B811" s="10" t="s">
        <v>59</v>
      </c>
      <c r="C811" s="11">
        <v>45836</v>
      </c>
      <c r="D811" s="12">
        <v>885451</v>
      </c>
      <c r="E811" s="5" t="str">
        <f>_xlfn.XLOOKUP(D811,[1]!Tabela24[Código consultor],[1]!Tabela24[Consultor Venda],0,0,1)</f>
        <v>COM - UMR - MARIA EDUARDA OLIVEIRA SIBIONI</v>
      </c>
      <c r="F811" s="5" t="str">
        <f>_xlfn.XLOOKUP(D811,[1]!Tabela24[Código consultor],[1]!Tabela24[Canal Consultor],0,0,1)</f>
        <v>INTERNO</v>
      </c>
      <c r="G811" s="10" t="str">
        <f>_xlfn.XLOOKUP(B811,[1]!Tabela1[[Cidades ]],[1]!Tabela1[Regional],0,0,1)</f>
        <v>Adilson</v>
      </c>
      <c r="H811" s="13" t="str">
        <f>_xlfn.XLOOKUP(B811,[1]!Tabela1[[Cidades ]],[1]!Tabela1[Gerente],0,0,1)</f>
        <v>Demais coordenadores</v>
      </c>
    </row>
    <row r="812" spans="1:8" x14ac:dyDescent="0.3">
      <c r="A812" s="4" t="s">
        <v>180</v>
      </c>
      <c r="B812" s="5" t="s">
        <v>10</v>
      </c>
      <c r="C812" s="6">
        <v>45836</v>
      </c>
      <c r="D812" s="7">
        <v>525458</v>
      </c>
      <c r="E812" s="5" t="str">
        <f>_xlfn.XLOOKUP(D812,[1]!Tabela24[Código consultor],[1]!Tabela24[Consultor Venda],0,0,1)</f>
        <v>PAR - ADM - GRP - FIGUEREDO MOBILE  - JOSELIO O. P. JUNIOR</v>
      </c>
      <c r="F812" s="5" t="str">
        <f>_xlfn.XLOOKUP(D812,[1]!Tabela24[Código consultor],[1]!Tabela24[Canal Consultor],0,0,1)</f>
        <v>PAR</v>
      </c>
      <c r="G812" s="5" t="str">
        <f>_xlfn.XLOOKUP(B812,[1]!Tabela1[[Cidades ]],[1]!Tabela1[Regional],0,0,1)</f>
        <v>Jean</v>
      </c>
      <c r="H812" s="8" t="str">
        <f>_xlfn.XLOOKUP(B812,[1]!Tabela1[[Cidades ]],[1]!Tabela1[Gerente],0,0,1)</f>
        <v>Demais coordenadores</v>
      </c>
    </row>
    <row r="813" spans="1:8" x14ac:dyDescent="0.3">
      <c r="A813" s="9" t="s">
        <v>971</v>
      </c>
      <c r="B813" s="10" t="s">
        <v>23</v>
      </c>
      <c r="C813" s="11">
        <v>45836</v>
      </c>
      <c r="D813" s="12">
        <v>165769</v>
      </c>
      <c r="E813" s="5" t="str">
        <f>_xlfn.XLOOKUP(D813,[1]!Tabela24[Código consultor],[1]!Tabela24[Consultor Venda],0,0,1)</f>
        <v>PAR - PAP - GTI - THALIA SP - THALIA DA SILVA PEREIRA</v>
      </c>
      <c r="F813" s="5" t="str">
        <f>_xlfn.XLOOKUP(D813,[1]!Tabela24[Código consultor],[1]!Tabela24[Canal Consultor],0,0,1)</f>
        <v>PAR</v>
      </c>
      <c r="G813" s="10" t="str">
        <f>_xlfn.XLOOKUP(B813,[1]!Tabela1[[Cidades ]],[1]!Tabela1[Regional],0,0,1)</f>
        <v>Magno</v>
      </c>
      <c r="H813" s="13" t="str">
        <f>_xlfn.XLOOKUP(B813,[1]!Tabela1[[Cidades ]],[1]!Tabela1[Gerente],0,0,1)</f>
        <v>Demais coordenadores</v>
      </c>
    </row>
    <row r="814" spans="1:8" x14ac:dyDescent="0.3">
      <c r="A814" s="4" t="s">
        <v>972</v>
      </c>
      <c r="B814" s="5" t="s">
        <v>91</v>
      </c>
      <c r="C814" s="6">
        <v>45836</v>
      </c>
      <c r="D814" s="7">
        <v>576121</v>
      </c>
      <c r="E814" s="5" t="str">
        <f>_xlfn.XLOOKUP(D814,[1]!Tabela24[Código consultor],[1]!Tabela24[Consultor Venda],0,0,1)</f>
        <v>COM - IGA - LEONARDO XAVIER GOMES</v>
      </c>
      <c r="F814" s="5" t="str">
        <f>_xlfn.XLOOKUP(D814,[1]!Tabela24[Código consultor],[1]!Tabela24[Canal Consultor],0,0,1)</f>
        <v>Pap</v>
      </c>
      <c r="G814" s="5" t="str">
        <f>_xlfn.XLOOKUP(B814,[1]!Tabela1[[Cidades ]],[1]!Tabela1[Regional],0,0,1)</f>
        <v>Jean</v>
      </c>
      <c r="H814" s="8" t="str">
        <f>_xlfn.XLOOKUP(B814,[1]!Tabela1[[Cidades ]],[1]!Tabela1[Gerente],0,0,1)</f>
        <v>Demais coordenadores</v>
      </c>
    </row>
    <row r="815" spans="1:8" x14ac:dyDescent="0.3">
      <c r="A815" s="9" t="s">
        <v>973</v>
      </c>
      <c r="B815" s="10" t="s">
        <v>35</v>
      </c>
      <c r="C815" s="11">
        <v>45836</v>
      </c>
      <c r="D815" s="12">
        <v>683349</v>
      </c>
      <c r="E815" s="5" t="str">
        <f>_xlfn.XLOOKUP(D815,[1]!Tabela24[Código consultor],[1]!Tabela24[Consultor Venda],0,0,1)</f>
        <v>DIG - CCO - EVELLIN SALOA MAIA DA CONCEICAO</v>
      </c>
      <c r="F815" s="5" t="str">
        <f>_xlfn.XLOOKUP(D815,[1]!Tabela24[Código consultor],[1]!Tabela24[Canal Consultor],0,0,1)</f>
        <v>DIGITAL</v>
      </c>
      <c r="G815" s="10" t="str">
        <f>_xlfn.XLOOKUP(B815,[1]!Tabela1[[Cidades ]],[1]!Tabela1[Regional],0,0,1)</f>
        <v>Magno</v>
      </c>
      <c r="H815" s="13" t="str">
        <f>_xlfn.XLOOKUP(B815,[1]!Tabela1[[Cidades ]],[1]!Tabela1[Gerente],0,0,1)</f>
        <v>Demais coordenadores</v>
      </c>
    </row>
    <row r="816" spans="1:8" x14ac:dyDescent="0.3">
      <c r="A816" s="4" t="s">
        <v>976</v>
      </c>
      <c r="B816" s="5" t="s">
        <v>23</v>
      </c>
      <c r="C816" s="6">
        <v>45836</v>
      </c>
      <c r="D816" s="7">
        <v>876162</v>
      </c>
      <c r="E816" s="5" t="str">
        <f>_xlfn.XLOOKUP(D816,[1]!Tabela24[Código consultor],[1]!Tabela24[Consultor Venda],0,0,1)</f>
        <v>COM - CAN - PAULA VITORIA ELIAS VIEIRA</v>
      </c>
      <c r="F816" s="5" t="str">
        <f>_xlfn.XLOOKUP(D816,[1]!Tabela24[Código consultor],[1]!Tabela24[Canal Consultor],0,0,1)</f>
        <v>Pap</v>
      </c>
      <c r="G816" s="5" t="str">
        <f>_xlfn.XLOOKUP(B816,[1]!Tabela1[[Cidades ]],[1]!Tabela1[Regional],0,0,1)</f>
        <v>Magno</v>
      </c>
      <c r="H816" s="8" t="str">
        <f>_xlfn.XLOOKUP(B816,[1]!Tabela1[[Cidades ]],[1]!Tabela1[Gerente],0,0,1)</f>
        <v>Demais coordenadores</v>
      </c>
    </row>
    <row r="817" spans="1:8" x14ac:dyDescent="0.3">
      <c r="A817" s="9" t="s">
        <v>977</v>
      </c>
      <c r="B817" s="10" t="s">
        <v>19</v>
      </c>
      <c r="C817" s="11">
        <v>45836</v>
      </c>
      <c r="D817" s="12">
        <v>725067</v>
      </c>
      <c r="E817" s="5" t="str">
        <f>_xlfn.XLOOKUP(D817,[1]!Tabela24[Código consultor],[1]!Tabela24[Consultor Venda],0,0,1)</f>
        <v>COM - CHN - MICHELY SANTOS DOS SANTOS</v>
      </c>
      <c r="F817" s="5" t="str">
        <f>_xlfn.XLOOKUP(D817,[1]!Tabela24[Código consultor],[1]!Tabela24[Canal Consultor],0,0,1)</f>
        <v>Pap</v>
      </c>
      <c r="G817" s="10" t="str">
        <f>_xlfn.XLOOKUP(B817,[1]!Tabela1[[Cidades ]],[1]!Tabela1[Regional],0,0,1)</f>
        <v>Magno</v>
      </c>
      <c r="H817" s="13" t="str">
        <f>_xlfn.XLOOKUP(B817,[1]!Tabela1[[Cidades ]],[1]!Tabela1[Gerente],0,0,1)</f>
        <v>Demais coordenadores</v>
      </c>
    </row>
    <row r="818" spans="1:8" x14ac:dyDescent="0.3">
      <c r="A818" s="4" t="s">
        <v>1049</v>
      </c>
      <c r="B818" s="5" t="s">
        <v>10</v>
      </c>
      <c r="C818" s="6">
        <v>45836</v>
      </c>
      <c r="D818" s="7">
        <v>525458</v>
      </c>
      <c r="E818" s="5" t="str">
        <f>_xlfn.XLOOKUP(D818,[1]!Tabela24[Código consultor],[1]!Tabela24[Consultor Venda],0,0,1)</f>
        <v>PAR - ADM - GRP - FIGUEREDO MOBILE  - JOSELIO O. P. JUNIOR</v>
      </c>
      <c r="F818" s="5" t="str">
        <f>_xlfn.XLOOKUP(D818,[1]!Tabela24[Código consultor],[1]!Tabela24[Canal Consultor],0,0,1)</f>
        <v>PAR</v>
      </c>
      <c r="G818" s="5" t="str">
        <f>_xlfn.XLOOKUP(B818,[1]!Tabela1[[Cidades ]],[1]!Tabela1[Regional],0,0,1)</f>
        <v>Jean</v>
      </c>
      <c r="H818" s="8" t="str">
        <f>_xlfn.XLOOKUP(B818,[1]!Tabela1[[Cidades ]],[1]!Tabela1[Gerente],0,0,1)</f>
        <v>Demais coordenadores</v>
      </c>
    </row>
    <row r="819" spans="1:8" x14ac:dyDescent="0.3">
      <c r="A819" s="9" t="s">
        <v>979</v>
      </c>
      <c r="B819" s="10" t="s">
        <v>45</v>
      </c>
      <c r="C819" s="11">
        <v>45836</v>
      </c>
      <c r="D819" s="12">
        <v>873649</v>
      </c>
      <c r="E819" s="5" t="str">
        <f>_xlfn.XLOOKUP(D819,[1]!Tabela24[Código consultor],[1]!Tabela24[Consultor Venda],0,0,1)</f>
        <v>COM - SOC - LEONARDO GUSTAVO TEIXEIRA DOS SANTOS</v>
      </c>
      <c r="F819" s="5" t="str">
        <f>_xlfn.XLOOKUP(D819,[1]!Tabela24[Código consultor],[1]!Tabela24[Canal Consultor],0,0,1)</f>
        <v>Pap</v>
      </c>
      <c r="G819" s="10" t="str">
        <f>_xlfn.XLOOKUP(B819,[1]!Tabela1[[Cidades ]],[1]!Tabela1[Regional],0,0,1)</f>
        <v>Jean</v>
      </c>
      <c r="H819" s="13" t="str">
        <f>_xlfn.XLOOKUP(B819,[1]!Tabela1[[Cidades ]],[1]!Tabela1[Gerente],0,0,1)</f>
        <v>Demais coordenadores</v>
      </c>
    </row>
    <row r="820" spans="1:8" x14ac:dyDescent="0.3">
      <c r="A820" s="4" t="s">
        <v>983</v>
      </c>
      <c r="B820" s="5" t="s">
        <v>12</v>
      </c>
      <c r="C820" s="6">
        <v>45836</v>
      </c>
      <c r="D820" s="7">
        <v>729970</v>
      </c>
      <c r="E820" s="5" t="str">
        <f>_xlfn.XLOOKUP(D820,[1]!Tabela24[Código consultor],[1]!Tabela24[Consultor Venda],0,0,1)</f>
        <v>COM - UMR - VINICIUS HENRIQUE HUSS DA MOTA</v>
      </c>
      <c r="F820" s="5" t="str">
        <f>_xlfn.XLOOKUP(D820,[1]!Tabela24[Código consultor],[1]!Tabela24[Canal Consultor],0,0,1)</f>
        <v>INTERNO</v>
      </c>
      <c r="G820" s="5" t="str">
        <f>_xlfn.XLOOKUP(B820,[1]!Tabela1[[Cidades ]],[1]!Tabela1[Regional],0,0,1)</f>
        <v>Jean</v>
      </c>
      <c r="H820" s="8" t="str">
        <f>_xlfn.XLOOKUP(B820,[1]!Tabela1[[Cidades ]],[1]!Tabela1[Gerente],0,0,1)</f>
        <v>Demais coordenadores</v>
      </c>
    </row>
    <row r="821" spans="1:8" x14ac:dyDescent="0.3">
      <c r="A821" s="9" t="s">
        <v>984</v>
      </c>
      <c r="B821" s="10" t="s">
        <v>59</v>
      </c>
      <c r="C821" s="11">
        <v>45836</v>
      </c>
      <c r="D821" s="12">
        <v>729970</v>
      </c>
      <c r="E821" s="5" t="str">
        <f>_xlfn.XLOOKUP(D821,[1]!Tabela24[Código consultor],[1]!Tabela24[Consultor Venda],0,0,1)</f>
        <v>COM - UMR - VINICIUS HENRIQUE HUSS DA MOTA</v>
      </c>
      <c r="F821" s="5" t="str">
        <f>_xlfn.XLOOKUP(D821,[1]!Tabela24[Código consultor],[1]!Tabela24[Canal Consultor],0,0,1)</f>
        <v>INTERNO</v>
      </c>
      <c r="G821" s="10" t="str">
        <f>_xlfn.XLOOKUP(B821,[1]!Tabela1[[Cidades ]],[1]!Tabela1[Regional],0,0,1)</f>
        <v>Adilson</v>
      </c>
      <c r="H821" s="13" t="str">
        <f>_xlfn.XLOOKUP(B821,[1]!Tabela1[[Cidades ]],[1]!Tabela1[Gerente],0,0,1)</f>
        <v>Demais coordenadores</v>
      </c>
    </row>
    <row r="822" spans="1:8" x14ac:dyDescent="0.3">
      <c r="A822" s="4" t="s">
        <v>985</v>
      </c>
      <c r="B822" s="5" t="s">
        <v>39</v>
      </c>
      <c r="C822" s="6">
        <v>45836</v>
      </c>
      <c r="D822" s="7">
        <v>547570</v>
      </c>
      <c r="E822" s="5" t="str">
        <f>_xlfn.XLOOKUP(D822,[1]!Tabela24[Código consultor],[1]!Tabela24[Consultor Venda],0,0,1)</f>
        <v>COM - LGS - ISABEL CRISTINA RODRIGUES DE JESUS</v>
      </c>
      <c r="F822" s="5" t="str">
        <f>_xlfn.XLOOKUP(D822,[1]!Tabela24[Código consultor],[1]!Tabela24[Canal Consultor],0,0,1)</f>
        <v>INTERNO</v>
      </c>
      <c r="G822" s="5" t="str">
        <f>_xlfn.XLOOKUP(B822,[1]!Tabela1[[Cidades ]],[1]!Tabela1[Regional],0,0,1)</f>
        <v>Marcio</v>
      </c>
      <c r="H822" s="8" t="str">
        <f>_xlfn.XLOOKUP(B822,[1]!Tabela1[[Cidades ]],[1]!Tabela1[Gerente],0,0,1)</f>
        <v>Demais coordenadores</v>
      </c>
    </row>
    <row r="823" spans="1:8" x14ac:dyDescent="0.3">
      <c r="A823" s="9" t="s">
        <v>1050</v>
      </c>
      <c r="B823" s="10" t="s">
        <v>10</v>
      </c>
      <c r="C823" s="11">
        <v>45836</v>
      </c>
      <c r="D823" s="12">
        <v>525458</v>
      </c>
      <c r="E823" s="5" t="str">
        <f>_xlfn.XLOOKUP(D823,[1]!Tabela24[Código consultor],[1]!Tabela24[Consultor Venda],0,0,1)</f>
        <v>PAR - ADM - GRP - FIGUEREDO MOBILE  - JOSELIO O. P. JUNIOR</v>
      </c>
      <c r="F823" s="5" t="str">
        <f>_xlfn.XLOOKUP(D823,[1]!Tabela24[Código consultor],[1]!Tabela24[Canal Consultor],0,0,1)</f>
        <v>PAR</v>
      </c>
      <c r="G823" s="10" t="str">
        <f>_xlfn.XLOOKUP(B823,[1]!Tabela1[[Cidades ]],[1]!Tabela1[Regional],0,0,1)</f>
        <v>Jean</v>
      </c>
      <c r="H823" s="13" t="str">
        <f>_xlfn.XLOOKUP(B823,[1]!Tabela1[[Cidades ]],[1]!Tabela1[Gerente],0,0,1)</f>
        <v>Demais coordenadores</v>
      </c>
    </row>
    <row r="824" spans="1:8" x14ac:dyDescent="0.3">
      <c r="A824" s="4" t="s">
        <v>987</v>
      </c>
      <c r="B824" s="5" t="s">
        <v>34</v>
      </c>
      <c r="C824" s="6">
        <v>45836</v>
      </c>
      <c r="D824" s="7">
        <v>738880</v>
      </c>
      <c r="E824" s="5" t="str">
        <f>_xlfn.XLOOKUP(D824,[1]!Tabela24[Código consultor],[1]!Tabela24[Consultor Venda],0,0,1)</f>
        <v>PAR - PAP - MUNDIALE - ANA LUIZA COUTO MATIAS</v>
      </c>
      <c r="F824" s="5" t="str">
        <f>_xlfn.XLOOKUP(D824,[1]!Tabela24[Código consultor],[1]!Tabela24[Canal Consultor],0,0,1)</f>
        <v>PAR_DIG</v>
      </c>
      <c r="G824" s="5" t="str">
        <f>_xlfn.XLOOKUP(B824,[1]!Tabela1[[Cidades ]],[1]!Tabela1[Regional],0,0,1)</f>
        <v>Alisson</v>
      </c>
      <c r="H824" s="8" t="str">
        <f>_xlfn.XLOOKUP(B824,[1]!Tabela1[[Cidades ]],[1]!Tabela1[Gerente],0,0,1)</f>
        <v>Karine</v>
      </c>
    </row>
    <row r="825" spans="1:8" x14ac:dyDescent="0.3">
      <c r="A825" s="9" t="s">
        <v>861</v>
      </c>
      <c r="B825" s="10" t="s">
        <v>19</v>
      </c>
      <c r="C825" s="11">
        <v>45836</v>
      </c>
      <c r="D825" s="12">
        <v>878848</v>
      </c>
      <c r="E825" s="5" t="str">
        <f>_xlfn.XLOOKUP(D825,[1]!Tabela24[Código consultor],[1]!Tabela24[Consultor Venda],0,0,1)</f>
        <v>COM - CHN - MATHEUS ALFREDO MACEDO</v>
      </c>
      <c r="F825" s="5" t="str">
        <f>_xlfn.XLOOKUP(D825,[1]!Tabela24[Código consultor],[1]!Tabela24[Canal Consultor],0,0,1)</f>
        <v>Pap</v>
      </c>
      <c r="G825" s="10" t="str">
        <f>_xlfn.XLOOKUP(B825,[1]!Tabela1[[Cidades ]],[1]!Tabela1[Regional],0,0,1)</f>
        <v>Magno</v>
      </c>
      <c r="H825" s="13" t="str">
        <f>_xlfn.XLOOKUP(B825,[1]!Tabela1[[Cidades ]],[1]!Tabela1[Gerente],0,0,1)</f>
        <v>Demais coordenadores</v>
      </c>
    </row>
    <row r="826" spans="1:8" x14ac:dyDescent="0.3">
      <c r="A826" s="4" t="s">
        <v>989</v>
      </c>
      <c r="B826" s="5" t="s">
        <v>48</v>
      </c>
      <c r="C826" s="6">
        <v>45836</v>
      </c>
      <c r="D826" s="7">
        <v>794227</v>
      </c>
      <c r="E826" s="5" t="str">
        <f>_xlfn.XLOOKUP(D826,[1]!Tabela24[Código consultor],[1]!Tabela24[Consultor Venda],0,0,1)</f>
        <v>PAR - PAP - TECH PERFORMANCE - Dario de Oliveira</v>
      </c>
      <c r="F826" s="5" t="str">
        <f>_xlfn.XLOOKUP(D826,[1]!Tabela24[Código consultor],[1]!Tabela24[Canal Consultor],0,0,1)</f>
        <v>Par</v>
      </c>
      <c r="G826" s="5" t="str">
        <f>_xlfn.XLOOKUP(B826,[1]!Tabela1[[Cidades ]],[1]!Tabela1[Regional],0,0,1)</f>
        <v>Maycon</v>
      </c>
      <c r="H826" s="8" t="str">
        <f>_xlfn.XLOOKUP(B826,[1]!Tabela1[[Cidades ]],[1]!Tabela1[Gerente],0,0,1)</f>
        <v>Demais coordenadores</v>
      </c>
    </row>
    <row r="827" spans="1:8" x14ac:dyDescent="0.3">
      <c r="A827" s="9" t="s">
        <v>990</v>
      </c>
      <c r="B827" s="10" t="s">
        <v>33</v>
      </c>
      <c r="C827" s="11">
        <v>45836</v>
      </c>
      <c r="D827" s="12">
        <v>785577</v>
      </c>
      <c r="E827" s="5" t="str">
        <f>_xlfn.XLOOKUP(D827,[1]!Tabela24[Código consultor],[1]!Tabela24[Consultor Venda],0,0,1)</f>
        <v>COM - XXE - LUCIA HELENA RAMOS KOTHE</v>
      </c>
      <c r="F827" s="5" t="str">
        <f>_xlfn.XLOOKUP(D827,[1]!Tabela24[Código consultor],[1]!Tabela24[Canal Consultor],0,0,1)</f>
        <v>INTERNO</v>
      </c>
      <c r="G827" s="10" t="str">
        <f>_xlfn.XLOOKUP(B827,[1]!Tabela1[[Cidades ]],[1]!Tabela1[Regional],0,0,1)</f>
        <v>Maycon</v>
      </c>
      <c r="H827" s="13" t="str">
        <f>_xlfn.XLOOKUP(B827,[1]!Tabela1[[Cidades ]],[1]!Tabela1[Gerente],0,0,1)</f>
        <v>Demais coordenadores</v>
      </c>
    </row>
    <row r="828" spans="1:8" x14ac:dyDescent="0.3">
      <c r="A828" s="4" t="s">
        <v>991</v>
      </c>
      <c r="B828" s="5" t="s">
        <v>11</v>
      </c>
      <c r="C828" s="6">
        <v>45836</v>
      </c>
      <c r="D828" s="7">
        <v>873105</v>
      </c>
      <c r="E828" s="5" t="str">
        <f>_xlfn.XLOOKUP(D828,[1]!Tabela24[Código consultor],[1]!Tabela24[Consultor Venda],0,0,1)</f>
        <v>DIG - CCO - INGREDE TAMIRES ALMEIDA ALVES</v>
      </c>
      <c r="F828" s="5" t="str">
        <f>_xlfn.XLOOKUP(D828,[1]!Tabela24[Código consultor],[1]!Tabela24[Canal Consultor],0,0,1)</f>
        <v>DIGITAL</v>
      </c>
      <c r="G828" s="5" t="str">
        <f>_xlfn.XLOOKUP(B828,[1]!Tabela1[[Cidades ]],[1]!Tabela1[Regional],0,0,1)</f>
        <v>Magno</v>
      </c>
      <c r="H828" s="8" t="str">
        <f>_xlfn.XLOOKUP(B828,[1]!Tabela1[[Cidades ]],[1]!Tabela1[Gerente],0,0,1)</f>
        <v>Demais coordenadores</v>
      </c>
    </row>
    <row r="829" spans="1:8" x14ac:dyDescent="0.3">
      <c r="A829" s="9" t="s">
        <v>1051</v>
      </c>
      <c r="B829" s="10" t="s">
        <v>38</v>
      </c>
      <c r="C829" s="11">
        <v>45836</v>
      </c>
      <c r="D829" s="12">
        <v>619784</v>
      </c>
      <c r="E829" s="5" t="str">
        <f>_xlfn.XLOOKUP(D829,[1]!Tabela24[Código consultor],[1]!Tabela24[Consultor Venda],0,0,1)</f>
        <v>COM - TEB - SUELEN DE FATIMA DO AMARAL</v>
      </c>
      <c r="F829" s="5" t="str">
        <f>_xlfn.XLOOKUP(D829,[1]!Tabela24[Código consultor],[1]!Tabela24[Canal Consultor],0,0,1)</f>
        <v>INTERNO</v>
      </c>
      <c r="G829" s="10" t="str">
        <f>_xlfn.XLOOKUP(B829,[1]!Tabela1[[Cidades ]],[1]!Tabela1[Regional],0,0,1)</f>
        <v>Jean</v>
      </c>
      <c r="H829" s="13" t="str">
        <f>_xlfn.XLOOKUP(B829,[1]!Tabela1[[Cidades ]],[1]!Tabela1[Gerente],0,0,1)</f>
        <v>Demais coordenadores</v>
      </c>
    </row>
    <row r="830" spans="1:8" x14ac:dyDescent="0.3">
      <c r="A830" s="4" t="s">
        <v>992</v>
      </c>
      <c r="B830" s="5" t="s">
        <v>30</v>
      </c>
      <c r="C830" s="6">
        <v>45836</v>
      </c>
      <c r="D830" s="7">
        <v>827465</v>
      </c>
      <c r="E830" s="5" t="str">
        <f>_xlfn.XLOOKUP(D830,[1]!Tabela24[Código consultor],[1]!Tabela24[Consultor Venda],0,0,1)</f>
        <v>DIG - ATV - TAINARA RODRIGUES CORDEIRO</v>
      </c>
      <c r="F830" s="5" t="str">
        <f>_xlfn.XLOOKUP(D830,[1]!Tabela24[Código consultor],[1]!Tabela24[Canal Consultor],0,0,1)</f>
        <v>Televendas Ativo</v>
      </c>
      <c r="G830" s="5" t="str">
        <f>_xlfn.XLOOKUP(B830,[1]!Tabela1[[Cidades ]],[1]!Tabela1[Regional],0,0,1)</f>
        <v>Jean</v>
      </c>
      <c r="H830" s="8" t="str">
        <f>_xlfn.XLOOKUP(B830,[1]!Tabela1[[Cidades ]],[1]!Tabela1[Gerente],0,0,1)</f>
        <v>Demais coordenadores</v>
      </c>
    </row>
    <row r="831" spans="1:8" x14ac:dyDescent="0.3">
      <c r="A831" s="9" t="s">
        <v>993</v>
      </c>
      <c r="B831" s="10" t="s">
        <v>29</v>
      </c>
      <c r="C831" s="11">
        <v>45836</v>
      </c>
      <c r="D831" s="12">
        <v>794227</v>
      </c>
      <c r="E831" s="5" t="str">
        <f>_xlfn.XLOOKUP(D831,[1]!Tabela24[Código consultor],[1]!Tabela24[Consultor Venda],0,0,1)</f>
        <v>PAR - PAP - TECH PERFORMANCE - Dario de Oliveira</v>
      </c>
      <c r="F831" s="5" t="str">
        <f>_xlfn.XLOOKUP(D831,[1]!Tabela24[Código consultor],[1]!Tabela24[Canal Consultor],0,0,1)</f>
        <v>Par</v>
      </c>
      <c r="G831" s="10" t="str">
        <f>_xlfn.XLOOKUP(B831,[1]!Tabela1[[Cidades ]],[1]!Tabela1[Regional],0,0,1)</f>
        <v>Adilson</v>
      </c>
      <c r="H831" s="13" t="str">
        <f>_xlfn.XLOOKUP(B831,[1]!Tabela1[[Cidades ]],[1]!Tabela1[Gerente],0,0,1)</f>
        <v>Demais coordenadores</v>
      </c>
    </row>
    <row r="832" spans="1:8" x14ac:dyDescent="0.3">
      <c r="A832" s="4" t="s">
        <v>994</v>
      </c>
      <c r="B832" s="5" t="s">
        <v>65</v>
      </c>
      <c r="C832" s="6">
        <v>45836</v>
      </c>
      <c r="D832" s="7">
        <v>683063</v>
      </c>
      <c r="E832" s="5" t="str">
        <f>_xlfn.XLOOKUP(D832,[1]!Tabela24[Código consultor],[1]!Tabela24[Consultor Venda],0,0,1)</f>
        <v>COM - CUA - BRUNO MANOEL DO NASCIMENTO</v>
      </c>
      <c r="F832" s="5" t="str">
        <f>_xlfn.XLOOKUP(D832,[1]!Tabela24[Código consultor],[1]!Tabela24[Canal Consultor],0,0,1)</f>
        <v>Pap</v>
      </c>
      <c r="G832" s="5" t="str">
        <f>_xlfn.XLOOKUP(B832,[1]!Tabela1[[Cidades ]],[1]!Tabela1[Regional],0,0,1)</f>
        <v>Marcio</v>
      </c>
      <c r="H832" s="8" t="str">
        <f>_xlfn.XLOOKUP(B832,[1]!Tabela1[[Cidades ]],[1]!Tabela1[Gerente],0,0,1)</f>
        <v>Demais coordenadores</v>
      </c>
    </row>
    <row r="833" spans="1:8" x14ac:dyDescent="0.3">
      <c r="A833" s="9" t="s">
        <v>1052</v>
      </c>
      <c r="B833" s="10" t="s">
        <v>19</v>
      </c>
      <c r="C833" s="11">
        <v>45836</v>
      </c>
      <c r="D833" s="12">
        <v>725067</v>
      </c>
      <c r="E833" s="5" t="str">
        <f>_xlfn.XLOOKUP(D833,[1]!Tabela24[Código consultor],[1]!Tabela24[Consultor Venda],0,0,1)</f>
        <v>COM - CHN - MICHELY SANTOS DOS SANTOS</v>
      </c>
      <c r="F833" s="5" t="str">
        <f>_xlfn.XLOOKUP(D833,[1]!Tabela24[Código consultor],[1]!Tabela24[Canal Consultor],0,0,1)</f>
        <v>Pap</v>
      </c>
      <c r="G833" s="10" t="str">
        <f>_xlfn.XLOOKUP(B833,[1]!Tabela1[[Cidades ]],[1]!Tabela1[Regional],0,0,1)</f>
        <v>Magno</v>
      </c>
      <c r="H833" s="13" t="str">
        <f>_xlfn.XLOOKUP(B833,[1]!Tabela1[[Cidades ]],[1]!Tabela1[Gerente],0,0,1)</f>
        <v>Demais coordenadores</v>
      </c>
    </row>
    <row r="834" spans="1:8" x14ac:dyDescent="0.3">
      <c r="A834" s="4" t="s">
        <v>995</v>
      </c>
      <c r="B834" s="5" t="s">
        <v>37</v>
      </c>
      <c r="C834" s="6">
        <v>45836</v>
      </c>
      <c r="D834" s="7">
        <v>875888</v>
      </c>
      <c r="E834" s="5" t="str">
        <f>_xlfn.XLOOKUP(D834,[1]!Tabela24[Código consultor],[1]!Tabela24[Consultor Venda],0,0,1)</f>
        <v>COM - SOC - JOAO PEDRO SANTOS CRUZ</v>
      </c>
      <c r="F834" s="5" t="str">
        <f>_xlfn.XLOOKUP(D834,[1]!Tabela24[Código consultor],[1]!Tabela24[Canal Consultor],0,0,1)</f>
        <v>Pap</v>
      </c>
      <c r="G834" s="5" t="str">
        <f>_xlfn.XLOOKUP(B834,[1]!Tabela1[[Cidades ]],[1]!Tabela1[Regional],0,0,1)</f>
        <v>Jean</v>
      </c>
      <c r="H834" s="8" t="str">
        <f>_xlfn.XLOOKUP(B834,[1]!Tabela1[[Cidades ]],[1]!Tabela1[Gerente],0,0,1)</f>
        <v>Demais coordenadores</v>
      </c>
    </row>
    <row r="835" spans="1:8" x14ac:dyDescent="0.3">
      <c r="A835" s="9" t="s">
        <v>996</v>
      </c>
      <c r="B835" s="10" t="s">
        <v>34</v>
      </c>
      <c r="C835" s="11">
        <v>45836</v>
      </c>
      <c r="D835" s="12">
        <v>216565</v>
      </c>
      <c r="E835" s="5" t="str">
        <f>_xlfn.XLOOKUP(D835,[1]!Tabela24[Código consultor],[1]!Tabela24[Consultor Venda],0,0,1)</f>
        <v>COM - ERE - JEAN CARLOS DOMINSKI</v>
      </c>
      <c r="F835" s="5" t="str">
        <f>_xlfn.XLOOKUP(D835,[1]!Tabela24[Código consultor],[1]!Tabela24[Canal Consultor],0,0,1)</f>
        <v>Pap</v>
      </c>
      <c r="G835" s="10" t="str">
        <f>_xlfn.XLOOKUP(B835,[1]!Tabela1[[Cidades ]],[1]!Tabela1[Regional],0,0,1)</f>
        <v>Alisson</v>
      </c>
      <c r="H835" s="13" t="str">
        <f>_xlfn.XLOOKUP(B835,[1]!Tabela1[[Cidades ]],[1]!Tabela1[Gerente],0,0,1)</f>
        <v>Karine</v>
      </c>
    </row>
    <row r="836" spans="1:8" x14ac:dyDescent="0.3">
      <c r="A836" s="4" t="s">
        <v>997</v>
      </c>
      <c r="B836" s="5" t="s">
        <v>10</v>
      </c>
      <c r="C836" s="6">
        <v>45836</v>
      </c>
      <c r="D836" s="7">
        <v>525458</v>
      </c>
      <c r="E836" s="5" t="str">
        <f>_xlfn.XLOOKUP(D836,[1]!Tabela24[Código consultor],[1]!Tabela24[Consultor Venda],0,0,1)</f>
        <v>PAR - ADM - GRP - FIGUEREDO MOBILE  - JOSELIO O. P. JUNIOR</v>
      </c>
      <c r="F836" s="5" t="str">
        <f>_xlfn.XLOOKUP(D836,[1]!Tabela24[Código consultor],[1]!Tabela24[Canal Consultor],0,0,1)</f>
        <v>PAR</v>
      </c>
      <c r="G836" s="5" t="str">
        <f>_xlfn.XLOOKUP(B836,[1]!Tabela1[[Cidades ]],[1]!Tabela1[Regional],0,0,1)</f>
        <v>Jean</v>
      </c>
      <c r="H836" s="8" t="str">
        <f>_xlfn.XLOOKUP(B836,[1]!Tabela1[[Cidades ]],[1]!Tabela1[Gerente],0,0,1)</f>
        <v>Demais coordenadores</v>
      </c>
    </row>
    <row r="837" spans="1:8" x14ac:dyDescent="0.3">
      <c r="A837" s="9" t="s">
        <v>998</v>
      </c>
      <c r="B837" s="10" t="s">
        <v>32</v>
      </c>
      <c r="C837" s="11">
        <v>45836</v>
      </c>
      <c r="D837" s="12">
        <v>576121</v>
      </c>
      <c r="E837" s="5" t="str">
        <f>_xlfn.XLOOKUP(D837,[1]!Tabela24[Código consultor],[1]!Tabela24[Consultor Venda],0,0,1)</f>
        <v>COM - IGA - LEONARDO XAVIER GOMES</v>
      </c>
      <c r="F837" s="5" t="str">
        <f>_xlfn.XLOOKUP(D837,[1]!Tabela24[Código consultor],[1]!Tabela24[Canal Consultor],0,0,1)</f>
        <v>Pap</v>
      </c>
      <c r="G837" s="10" t="str">
        <f>_xlfn.XLOOKUP(B837,[1]!Tabela1[[Cidades ]],[1]!Tabela1[Regional],0,0,1)</f>
        <v>Jean</v>
      </c>
      <c r="H837" s="13" t="str">
        <f>_xlfn.XLOOKUP(B837,[1]!Tabela1[[Cidades ]],[1]!Tabela1[Gerente],0,0,1)</f>
        <v>Demais coordenadores</v>
      </c>
    </row>
    <row r="838" spans="1:8" x14ac:dyDescent="0.3">
      <c r="A838" s="4" t="s">
        <v>1001</v>
      </c>
      <c r="B838" s="5" t="s">
        <v>11</v>
      </c>
      <c r="C838" s="6">
        <v>45836</v>
      </c>
      <c r="D838" s="7">
        <v>861705</v>
      </c>
      <c r="E838" s="5" t="str">
        <f>_xlfn.XLOOKUP(D838,[1]!Tabela24[Código consultor],[1]!Tabela24[Consultor Venda],0,0,1)</f>
        <v>PAR - COM - PAP - TQR - ERIKA DE OLIVEIRA GALLE</v>
      </c>
      <c r="F838" s="5" t="str">
        <f>_xlfn.XLOOKUP(D838,[1]!Tabela24[Código consultor],[1]!Tabela24[Canal Consultor],0,0,1)</f>
        <v>PAR</v>
      </c>
      <c r="G838" s="5" t="str">
        <f>_xlfn.XLOOKUP(B838,[1]!Tabela1[[Cidades ]],[1]!Tabela1[Regional],0,0,1)</f>
        <v>Magno</v>
      </c>
      <c r="H838" s="8" t="str">
        <f>_xlfn.XLOOKUP(B838,[1]!Tabela1[[Cidades ]],[1]!Tabela1[Gerente],0,0,1)</f>
        <v>Demais coordenadores</v>
      </c>
    </row>
    <row r="839" spans="1:8" x14ac:dyDescent="0.3">
      <c r="A839" s="9" t="s">
        <v>1002</v>
      </c>
      <c r="B839" s="10" t="s">
        <v>46</v>
      </c>
      <c r="C839" s="11">
        <v>45836</v>
      </c>
      <c r="D839" s="12">
        <v>46617</v>
      </c>
      <c r="E839" s="5" t="str">
        <f>_xlfn.XLOOKUP(D839,[1]!Tabela24[Código consultor],[1]!Tabela24[Consultor Venda],0,0,1)</f>
        <v>COM - BGV - VICTOR MATHEUS MARIUZZA</v>
      </c>
      <c r="F839" s="5" t="str">
        <f>_xlfn.XLOOKUP(D839,[1]!Tabela24[Código consultor],[1]!Tabela24[Canal Consultor],0,0,1)</f>
        <v>INTERNO</v>
      </c>
      <c r="G839" s="10" t="str">
        <f>_xlfn.XLOOKUP(B839,[1]!Tabela1[[Cidades ]],[1]!Tabela1[Regional],0,0,1)</f>
        <v>Magno</v>
      </c>
      <c r="H839" s="13" t="str">
        <f>_xlfn.XLOOKUP(B839,[1]!Tabela1[[Cidades ]],[1]!Tabela1[Gerente],0,0,1)</f>
        <v>Demais coordenadores</v>
      </c>
    </row>
    <row r="840" spans="1:8" x14ac:dyDescent="0.3">
      <c r="A840" s="4" t="s">
        <v>1003</v>
      </c>
      <c r="B840" s="5" t="s">
        <v>24</v>
      </c>
      <c r="C840" s="6">
        <v>45836</v>
      </c>
      <c r="D840" s="7">
        <v>682336</v>
      </c>
      <c r="E840" s="5" t="str">
        <f>_xlfn.XLOOKUP(D840,[1]!Tabela24[Código consultor],[1]!Tabela24[Consultor Venda],0,0,1)</f>
        <v>PAR - SMA - TEC - MEGA WALL - JOCEMAR A. DO SANTOS</v>
      </c>
      <c r="F840" s="5" t="str">
        <f>_xlfn.XLOOKUP(D840,[1]!Tabela24[Código consultor],[1]!Tabela24[Canal Consultor],0,0,1)</f>
        <v>PAR</v>
      </c>
      <c r="G840" s="5" t="str">
        <f>_xlfn.XLOOKUP(B840,[1]!Tabela1[[Cidades ]],[1]!Tabela1[Regional],0,0,1)</f>
        <v>Magno</v>
      </c>
      <c r="H840" s="8" t="str">
        <f>_xlfn.XLOOKUP(B840,[1]!Tabela1[[Cidades ]],[1]!Tabela1[Gerente],0,0,1)</f>
        <v>Demais coordenadores</v>
      </c>
    </row>
    <row r="841" spans="1:8" x14ac:dyDescent="0.3">
      <c r="A841" s="9" t="s">
        <v>1004</v>
      </c>
      <c r="B841" s="10" t="s">
        <v>111</v>
      </c>
      <c r="C841" s="11">
        <v>45836</v>
      </c>
      <c r="D841" s="12">
        <v>437804</v>
      </c>
      <c r="E841" s="5" t="str">
        <f>_xlfn.XLOOKUP(D841,[1]!Tabela24[Código consultor],[1]!Tabela24[Consultor Venda],0,0,1)</f>
        <v>COM - PZO - SUELEN CRISTINA FREY</v>
      </c>
      <c r="F841" s="5" t="str">
        <f>_xlfn.XLOOKUP(D841,[1]!Tabela24[Código consultor],[1]!Tabela24[Canal Consultor],0,0,1)</f>
        <v>INTERNO</v>
      </c>
      <c r="G841" s="10" t="str">
        <f>_xlfn.XLOOKUP(B841,[1]!Tabela1[[Cidades ]],[1]!Tabela1[Regional],0,0,1)</f>
        <v>Maycon</v>
      </c>
      <c r="H841" s="13" t="str">
        <f>_xlfn.XLOOKUP(B841,[1]!Tabela1[[Cidades ]],[1]!Tabela1[Gerente],0,0,1)</f>
        <v>Demais coordenadores</v>
      </c>
    </row>
    <row r="842" spans="1:8" x14ac:dyDescent="0.3">
      <c r="A842" s="4" t="s">
        <v>1005</v>
      </c>
      <c r="B842" s="5" t="s">
        <v>31</v>
      </c>
      <c r="C842" s="6">
        <v>45836</v>
      </c>
      <c r="D842" s="7">
        <v>683349</v>
      </c>
      <c r="E842" s="5" t="str">
        <f>_xlfn.XLOOKUP(D842,[1]!Tabela24[Código consultor],[1]!Tabela24[Consultor Venda],0,0,1)</f>
        <v>DIG - CCO - EVELLIN SALOA MAIA DA CONCEICAO</v>
      </c>
      <c r="F842" s="5" t="str">
        <f>_xlfn.XLOOKUP(D842,[1]!Tabela24[Código consultor],[1]!Tabela24[Canal Consultor],0,0,1)</f>
        <v>DIGITAL</v>
      </c>
      <c r="G842" s="5" t="str">
        <f>_xlfn.XLOOKUP(B842,[1]!Tabela1[[Cidades ]],[1]!Tabela1[Regional],0,0,1)</f>
        <v>Maycon</v>
      </c>
      <c r="H842" s="8" t="str">
        <f>_xlfn.XLOOKUP(B842,[1]!Tabela1[[Cidades ]],[1]!Tabela1[Gerente],0,0,1)</f>
        <v>Demais coordenadores</v>
      </c>
    </row>
    <row r="843" spans="1:8" x14ac:dyDescent="0.3">
      <c r="A843" s="9" t="s">
        <v>1006</v>
      </c>
      <c r="B843" s="10" t="s">
        <v>73</v>
      </c>
      <c r="C843" s="11">
        <v>45836</v>
      </c>
      <c r="D843" s="12">
        <v>119776</v>
      </c>
      <c r="E843" s="5" t="str">
        <f>_xlfn.XLOOKUP(D843,[1]!Tabela24[Código consultor],[1]!Tabela24[Consultor Venda],0,0,1)</f>
        <v>COM - SRD - VALKIRIA MANICA</v>
      </c>
      <c r="F843" s="5" t="str">
        <f>_xlfn.XLOOKUP(D843,[1]!Tabela24[Código consultor],[1]!Tabela24[Canal Consultor],0,0,1)</f>
        <v>INTERNO</v>
      </c>
      <c r="G843" s="10" t="str">
        <f>_xlfn.XLOOKUP(B843,[1]!Tabela1[[Cidades ]],[1]!Tabela1[Regional],0,0,1)</f>
        <v>Alisson</v>
      </c>
      <c r="H843" s="13" t="str">
        <f>_xlfn.XLOOKUP(B843,[1]!Tabela1[[Cidades ]],[1]!Tabela1[Gerente],0,0,1)</f>
        <v>Helena</v>
      </c>
    </row>
    <row r="844" spans="1:8" x14ac:dyDescent="0.3">
      <c r="A844" s="4" t="s">
        <v>1007</v>
      </c>
      <c r="B844" s="5" t="s">
        <v>12</v>
      </c>
      <c r="C844" s="6">
        <v>45836</v>
      </c>
      <c r="D844" s="7">
        <v>683349</v>
      </c>
      <c r="E844" s="5" t="str">
        <f>_xlfn.XLOOKUP(D844,[1]!Tabela24[Código consultor],[1]!Tabela24[Consultor Venda],0,0,1)</f>
        <v>DIG - CCO - EVELLIN SALOA MAIA DA CONCEICAO</v>
      </c>
      <c r="F844" s="5" t="str">
        <f>_xlfn.XLOOKUP(D844,[1]!Tabela24[Código consultor],[1]!Tabela24[Canal Consultor],0,0,1)</f>
        <v>DIGITAL</v>
      </c>
      <c r="G844" s="5" t="str">
        <f>_xlfn.XLOOKUP(B844,[1]!Tabela1[[Cidades ]],[1]!Tabela1[Regional],0,0,1)</f>
        <v>Jean</v>
      </c>
      <c r="H844" s="8" t="str">
        <f>_xlfn.XLOOKUP(B844,[1]!Tabela1[[Cidades ]],[1]!Tabela1[Gerente],0,0,1)</f>
        <v>Demais coordenadores</v>
      </c>
    </row>
    <row r="845" spans="1:8" x14ac:dyDescent="0.3">
      <c r="A845" s="9" t="s">
        <v>1009</v>
      </c>
      <c r="B845" s="10" t="s">
        <v>66</v>
      </c>
      <c r="C845" s="11">
        <v>45836</v>
      </c>
      <c r="D845" s="12">
        <v>600710</v>
      </c>
      <c r="E845" s="5" t="str">
        <f>_xlfn.XLOOKUP(D845,[1]!Tabela24[Código consultor],[1]!Tabela24[Consultor Venda],0,0,1)</f>
        <v>DIG - CCO - BRUNA BALBINOTTI</v>
      </c>
      <c r="F845" s="5" t="str">
        <f>_xlfn.XLOOKUP(D845,[1]!Tabela24[Código consultor],[1]!Tabela24[Canal Consultor],0,0,1)</f>
        <v>DIGITAL</v>
      </c>
      <c r="G845" s="10" t="str">
        <f>_xlfn.XLOOKUP(B845,[1]!Tabela1[[Cidades ]],[1]!Tabela1[Regional],0,0,1)</f>
        <v>Marcio</v>
      </c>
      <c r="H845" s="13" t="str">
        <f>_xlfn.XLOOKUP(B845,[1]!Tabela1[[Cidades ]],[1]!Tabela1[Gerente],0,0,1)</f>
        <v>Demais coordenadores</v>
      </c>
    </row>
    <row r="846" spans="1:8" x14ac:dyDescent="0.3">
      <c r="A846" s="4" t="s">
        <v>1011</v>
      </c>
      <c r="B846" s="5" t="s">
        <v>22</v>
      </c>
      <c r="C846" s="6">
        <v>45836</v>
      </c>
      <c r="D846" s="7">
        <v>822770</v>
      </c>
      <c r="E846" s="5" t="str">
        <f>_xlfn.XLOOKUP(D846,[1]!Tabela24[Código consultor],[1]!Tabela24[Consultor Venda],0,0,1)</f>
        <v>COM - SCR - VINICIUS ALCEMAR DA SILVA</v>
      </c>
      <c r="F846" s="5" t="str">
        <f>_xlfn.XLOOKUP(D846,[1]!Tabela24[Código consultor],[1]!Tabela24[Canal Consultor],0,0,1)</f>
        <v>Pap</v>
      </c>
      <c r="G846" s="5" t="str">
        <f>_xlfn.XLOOKUP(B846,[1]!Tabela1[[Cidades ]],[1]!Tabela1[Regional],0,0,1)</f>
        <v>Magno</v>
      </c>
      <c r="H846" s="8" t="str">
        <f>_xlfn.XLOOKUP(B846,[1]!Tabela1[[Cidades ]],[1]!Tabela1[Gerente],0,0,1)</f>
        <v>Demais coordenadores</v>
      </c>
    </row>
    <row r="847" spans="1:8" x14ac:dyDescent="0.3">
      <c r="A847" s="9" t="s">
        <v>1012</v>
      </c>
      <c r="B847" s="10" t="s">
        <v>22</v>
      </c>
      <c r="C847" s="11">
        <v>45836</v>
      </c>
      <c r="D847" s="12">
        <v>716615</v>
      </c>
      <c r="E847" s="5" t="str">
        <f>_xlfn.XLOOKUP(D847,[1]!Tabela24[Código consultor],[1]!Tabela24[Consultor Venda],0,0,1)</f>
        <v>COM - SCR - MARCO ANTONIO NUNES DOS SANTOS</v>
      </c>
      <c r="F847" s="5" t="str">
        <f>_xlfn.XLOOKUP(D847,[1]!Tabela24[Código consultor],[1]!Tabela24[Canal Consultor],0,0,1)</f>
        <v>Pap</v>
      </c>
      <c r="G847" s="10" t="str">
        <f>_xlfn.XLOOKUP(B847,[1]!Tabela1[[Cidades ]],[1]!Tabela1[Regional],0,0,1)</f>
        <v>Magno</v>
      </c>
      <c r="H847" s="13" t="str">
        <f>_xlfn.XLOOKUP(B847,[1]!Tabela1[[Cidades ]],[1]!Tabela1[Gerente],0,0,1)</f>
        <v>Demais coordenadores</v>
      </c>
    </row>
    <row r="848" spans="1:8" x14ac:dyDescent="0.3">
      <c r="A848" s="4" t="s">
        <v>1012</v>
      </c>
      <c r="B848" s="5" t="s">
        <v>22</v>
      </c>
      <c r="C848" s="6">
        <v>45836</v>
      </c>
      <c r="D848" s="7">
        <v>716615</v>
      </c>
      <c r="E848" s="5" t="str">
        <f>_xlfn.XLOOKUP(D848,[1]!Tabela24[Código consultor],[1]!Tabela24[Consultor Venda],0,0,1)</f>
        <v>COM - SCR - MARCO ANTONIO NUNES DOS SANTOS</v>
      </c>
      <c r="F848" s="5" t="str">
        <f>_xlfn.XLOOKUP(D848,[1]!Tabela24[Código consultor],[1]!Tabela24[Canal Consultor],0,0,1)</f>
        <v>Pap</v>
      </c>
      <c r="G848" s="5" t="str">
        <f>_xlfn.XLOOKUP(B848,[1]!Tabela1[[Cidades ]],[1]!Tabela1[Regional],0,0,1)</f>
        <v>Magno</v>
      </c>
      <c r="H848" s="8" t="str">
        <f>_xlfn.XLOOKUP(B848,[1]!Tabela1[[Cidades ]],[1]!Tabela1[Gerente],0,0,1)</f>
        <v>Demais coordenadores</v>
      </c>
    </row>
    <row r="849" spans="1:8" x14ac:dyDescent="0.3">
      <c r="A849" s="9" t="s">
        <v>1053</v>
      </c>
      <c r="B849" s="10" t="s">
        <v>53</v>
      </c>
      <c r="C849" s="11">
        <v>45836</v>
      </c>
      <c r="D849" s="12">
        <v>623344</v>
      </c>
      <c r="E849" s="5" t="str">
        <f>_xlfn.XLOOKUP(D849,[1]!Tabela24[Código consultor],[1]!Tabela24[Consultor Venda],0,0,1)</f>
        <v>COM - DOS - EDUARDO ALVARENGA CARDOSO VIEIRA</v>
      </c>
      <c r="F849" s="5" t="str">
        <f>_xlfn.XLOOKUP(D849,[1]!Tabela24[Código consultor],[1]!Tabela24[Canal Consultor],0,0,1)</f>
        <v>Pap</v>
      </c>
      <c r="G849" s="10" t="str">
        <f>_xlfn.XLOOKUP(B849,[1]!Tabela1[[Cidades ]],[1]!Tabela1[Regional],0,0,1)</f>
        <v>Adilson</v>
      </c>
      <c r="H849" s="13" t="str">
        <f>_xlfn.XLOOKUP(B849,[1]!Tabela1[[Cidades ]],[1]!Tabela1[Gerente],0,0,1)</f>
        <v>Demais coordenadores</v>
      </c>
    </row>
    <row r="850" spans="1:8" x14ac:dyDescent="0.3">
      <c r="A850" s="4" t="s">
        <v>1016</v>
      </c>
      <c r="B850" s="5" t="s">
        <v>30</v>
      </c>
      <c r="C850" s="6">
        <v>45836</v>
      </c>
      <c r="D850" s="7">
        <v>883823</v>
      </c>
      <c r="E850" s="5" t="str">
        <f>_xlfn.XLOOKUP(D850,[1]!Tabela24[Código consultor],[1]!Tabela24[Consultor Venda],0,0,1)</f>
        <v>COM - IGA - KARINA CRISTINA SOARES CARDOSO</v>
      </c>
      <c r="F850" s="5" t="str">
        <f>_xlfn.XLOOKUP(D850,[1]!Tabela24[Código consultor],[1]!Tabela24[Canal Consultor],0,0,1)</f>
        <v>INTERNO</v>
      </c>
      <c r="G850" s="5" t="str">
        <f>_xlfn.XLOOKUP(B850,[1]!Tabela1[[Cidades ]],[1]!Tabela1[Regional],0,0,1)</f>
        <v>Jean</v>
      </c>
      <c r="H850" s="8" t="str">
        <f>_xlfn.XLOOKUP(B850,[1]!Tabela1[[Cidades ]],[1]!Tabela1[Gerente],0,0,1)</f>
        <v>Demais coordenadores</v>
      </c>
    </row>
    <row r="851" spans="1:8" x14ac:dyDescent="0.3">
      <c r="A851" s="9" t="s">
        <v>1017</v>
      </c>
      <c r="B851" s="10" t="s">
        <v>53</v>
      </c>
      <c r="C851" s="11">
        <v>45836</v>
      </c>
      <c r="D851" s="12">
        <v>844068</v>
      </c>
      <c r="E851" s="5" t="str">
        <f>_xlfn.XLOOKUP(D851,[1]!Tabela24[Código consultor],[1]!Tabela24[Consultor Venda],0,0,1)</f>
        <v>COM - DOS - GABRIEL SPINDOLA RAMOS CORREA</v>
      </c>
      <c r="F851" s="5" t="str">
        <f>_xlfn.XLOOKUP(D851,[1]!Tabela24[Código consultor],[1]!Tabela24[Canal Consultor],0,0,1)</f>
        <v>Pap</v>
      </c>
      <c r="G851" s="10" t="str">
        <f>_xlfn.XLOOKUP(B851,[1]!Tabela1[[Cidades ]],[1]!Tabela1[Regional],0,0,1)</f>
        <v>Adilson</v>
      </c>
      <c r="H851" s="13" t="str">
        <f>_xlfn.XLOOKUP(B851,[1]!Tabela1[[Cidades ]],[1]!Tabela1[Gerente],0,0,1)</f>
        <v>Demais coordenadores</v>
      </c>
    </row>
    <row r="852" spans="1:8" x14ac:dyDescent="0.3">
      <c r="A852" s="4" t="s">
        <v>1018</v>
      </c>
      <c r="B852" s="5" t="s">
        <v>37</v>
      </c>
      <c r="C852" s="6">
        <v>45836</v>
      </c>
      <c r="D852" s="7">
        <v>881485</v>
      </c>
      <c r="E852" s="5" t="str">
        <f>_xlfn.XLOOKUP(D852,[1]!Tabela24[Código consultor],[1]!Tabela24[Consultor Venda],0,0,1)</f>
        <v>COM - SOC - ERICSSON CUNHA DE PAULA ANHAIA</v>
      </c>
      <c r="F852" s="5" t="str">
        <f>_xlfn.XLOOKUP(D852,[1]!Tabela24[Código consultor],[1]!Tabela24[Canal Consultor],0,0,1)</f>
        <v>Pap</v>
      </c>
      <c r="G852" s="5" t="str">
        <f>_xlfn.XLOOKUP(B852,[1]!Tabela1[[Cidades ]],[1]!Tabela1[Regional],0,0,1)</f>
        <v>Jean</v>
      </c>
      <c r="H852" s="8" t="str">
        <f>_xlfn.XLOOKUP(B852,[1]!Tabela1[[Cidades ]],[1]!Tabela1[Gerente],0,0,1)</f>
        <v>Demais coordenadores</v>
      </c>
    </row>
    <row r="853" spans="1:8" x14ac:dyDescent="0.3">
      <c r="A853" s="9" t="s">
        <v>1054</v>
      </c>
      <c r="B853" s="10" t="s">
        <v>43</v>
      </c>
      <c r="C853" s="11">
        <v>45836</v>
      </c>
      <c r="D853" s="12">
        <v>501</v>
      </c>
      <c r="E853" s="5" t="str">
        <f>_xlfn.XLOOKUP(D853,[1]!Tabela24[Código consultor],[1]!Tabela24[Consultor Venda],0,0,1)</f>
        <v>COM - CAT - CRISTIANE PLINTA</v>
      </c>
      <c r="F853" s="5" t="str">
        <f>_xlfn.XLOOKUP(D853,[1]!Tabela24[Código consultor],[1]!Tabela24[Canal Consultor],0,0,1)</f>
        <v>INTERNO</v>
      </c>
      <c r="G853" s="10" t="str">
        <f>_xlfn.XLOOKUP(B853,[1]!Tabela1[[Cidades ]],[1]!Tabela1[Regional],0,0,1)</f>
        <v>Jean</v>
      </c>
      <c r="H853" s="13" t="str">
        <f>_xlfn.XLOOKUP(B853,[1]!Tabela1[[Cidades ]],[1]!Tabela1[Gerente],0,0,1)</f>
        <v>Demais coordenadores</v>
      </c>
    </row>
    <row r="854" spans="1:8" x14ac:dyDescent="0.3">
      <c r="A854" s="4" t="s">
        <v>1019</v>
      </c>
      <c r="B854" s="5" t="s">
        <v>31</v>
      </c>
      <c r="C854" s="6">
        <v>45836</v>
      </c>
      <c r="D854" s="7">
        <v>706513</v>
      </c>
      <c r="E854" s="5" t="str">
        <f>_xlfn.XLOOKUP(D854,[1]!Tabela24[Código consultor],[1]!Tabela24[Consultor Venda],0,0,1)</f>
        <v>COM - CCO - KETLYN MARINS</v>
      </c>
      <c r="F854" s="5" t="str">
        <f>_xlfn.XLOOKUP(D854,[1]!Tabela24[Código consultor],[1]!Tabela24[Canal Consultor],0,0,1)</f>
        <v>INTERNO</v>
      </c>
      <c r="G854" s="5" t="str">
        <f>_xlfn.XLOOKUP(B854,[1]!Tabela1[[Cidades ]],[1]!Tabela1[Regional],0,0,1)</f>
        <v>Maycon</v>
      </c>
      <c r="H854" s="8" t="str">
        <f>_xlfn.XLOOKUP(B854,[1]!Tabela1[[Cidades ]],[1]!Tabela1[Gerente],0,0,1)</f>
        <v>Demais coordenadores</v>
      </c>
    </row>
    <row r="855" spans="1:8" x14ac:dyDescent="0.3">
      <c r="A855" s="9" t="s">
        <v>1020</v>
      </c>
      <c r="B855" s="10" t="s">
        <v>62</v>
      </c>
      <c r="C855" s="11">
        <v>45836</v>
      </c>
      <c r="D855" s="12">
        <v>879271</v>
      </c>
      <c r="E855" s="5" t="str">
        <f>_xlfn.XLOOKUP(D855,[1]!Tabela24[Código consultor],[1]!Tabela24[Consultor Venda],0,0,1)</f>
        <v>COM - UMR - LETICIA LEITE MARTINS</v>
      </c>
      <c r="F855" s="5" t="str">
        <f>_xlfn.XLOOKUP(D855,[1]!Tabela24[Código consultor],[1]!Tabela24[Canal Consultor],0,0,1)</f>
        <v>INTERNO</v>
      </c>
      <c r="G855" s="10" t="str">
        <f>_xlfn.XLOOKUP(B855,[1]!Tabela1[[Cidades ]],[1]!Tabela1[Regional],0,0,1)</f>
        <v>Adilson</v>
      </c>
      <c r="H855" s="13" t="str">
        <f>_xlfn.XLOOKUP(B855,[1]!Tabela1[[Cidades ]],[1]!Tabela1[Gerente],0,0,1)</f>
        <v>Demais coordenadores</v>
      </c>
    </row>
    <row r="856" spans="1:8" x14ac:dyDescent="0.3">
      <c r="A856" s="4" t="s">
        <v>1021</v>
      </c>
      <c r="B856" s="5" t="s">
        <v>64</v>
      </c>
      <c r="C856" s="6">
        <v>45836</v>
      </c>
      <c r="D856" s="7">
        <v>559912</v>
      </c>
      <c r="E856" s="5" t="str">
        <f>_xlfn.XLOOKUP(D856,[1]!Tabela24[Código consultor],[1]!Tabela24[Consultor Venda],0,0,1)</f>
        <v>COM - TEB - DEVAIR DE JESUS TALEVI</v>
      </c>
      <c r="F856" s="5" t="str">
        <f>_xlfn.XLOOKUP(D856,[1]!Tabela24[Código consultor],[1]!Tabela24[Canal Consultor],0,0,1)</f>
        <v>Pap</v>
      </c>
      <c r="G856" s="5" t="str">
        <f>_xlfn.XLOOKUP(B856,[1]!Tabela1[[Cidades ]],[1]!Tabela1[Regional],0,0,1)</f>
        <v>Jean</v>
      </c>
      <c r="H856" s="8" t="str">
        <f>_xlfn.XLOOKUP(B856,[1]!Tabela1[[Cidades ]],[1]!Tabela1[Gerente],0,0,1)</f>
        <v>Demais coordenadores</v>
      </c>
    </row>
    <row r="857" spans="1:8" x14ac:dyDescent="0.3">
      <c r="A857" s="9" t="s">
        <v>1023</v>
      </c>
      <c r="B857" s="10" t="s">
        <v>37</v>
      </c>
      <c r="C857" s="11">
        <v>45836</v>
      </c>
      <c r="D857" s="12">
        <v>881485</v>
      </c>
      <c r="E857" s="5" t="str">
        <f>_xlfn.XLOOKUP(D857,[1]!Tabela24[Código consultor],[1]!Tabela24[Consultor Venda],0,0,1)</f>
        <v>COM - SOC - ERICSSON CUNHA DE PAULA ANHAIA</v>
      </c>
      <c r="F857" s="5" t="str">
        <f>_xlfn.XLOOKUP(D857,[1]!Tabela24[Código consultor],[1]!Tabela24[Canal Consultor],0,0,1)</f>
        <v>Pap</v>
      </c>
      <c r="G857" s="10" t="str">
        <f>_xlfn.XLOOKUP(B857,[1]!Tabela1[[Cidades ]],[1]!Tabela1[Regional],0,0,1)</f>
        <v>Jean</v>
      </c>
      <c r="H857" s="13" t="str">
        <f>_xlfn.XLOOKUP(B857,[1]!Tabela1[[Cidades ]],[1]!Tabela1[Gerente],0,0,1)</f>
        <v>Demais coordenadores</v>
      </c>
    </row>
    <row r="858" spans="1:8" x14ac:dyDescent="0.3">
      <c r="A858" s="4" t="s">
        <v>1025</v>
      </c>
      <c r="B858" s="5" t="s">
        <v>27</v>
      </c>
      <c r="C858" s="6">
        <v>45836</v>
      </c>
      <c r="D858" s="7">
        <v>777905</v>
      </c>
      <c r="E858" s="5" t="str">
        <f>_xlfn.XLOOKUP(D858,[1]!Tabela24[Código consultor],[1]!Tabela24[Consultor Venda],0,0,1)</f>
        <v>COM - VAA - BIANCA MUNERETTO RODRIGUES</v>
      </c>
      <c r="F858" s="5" t="str">
        <f>_xlfn.XLOOKUP(D858,[1]!Tabela24[Código consultor],[1]!Tabela24[Canal Consultor],0,0,1)</f>
        <v>Pap</v>
      </c>
      <c r="G858" s="5" t="str">
        <f>_xlfn.XLOOKUP(B858,[1]!Tabela1[[Cidades ]],[1]!Tabela1[Regional],0,0,1)</f>
        <v>Alisson</v>
      </c>
      <c r="H858" s="8" t="str">
        <f>_xlfn.XLOOKUP(B858,[1]!Tabela1[[Cidades ]],[1]!Tabela1[Gerente],0,0,1)</f>
        <v>Tatiane</v>
      </c>
    </row>
    <row r="859" spans="1:8" x14ac:dyDescent="0.3">
      <c r="A859" s="9" t="s">
        <v>1026</v>
      </c>
      <c r="B859" s="10" t="s">
        <v>37</v>
      </c>
      <c r="C859" s="11">
        <v>45836</v>
      </c>
      <c r="D859" s="12">
        <v>886641</v>
      </c>
      <c r="E859" s="5" t="str">
        <f>_xlfn.XLOOKUP(D859,[1]!Tabela24[Código consultor],[1]!Tabela24[Consultor Venda],0,0,1)</f>
        <v>COM - SOC - RAPHAEL VITORINO RIBEIRO</v>
      </c>
      <c r="F859" s="5" t="str">
        <f>_xlfn.XLOOKUP(D859,[1]!Tabela24[Código consultor],[1]!Tabela24[Canal Consultor],0,0,1)</f>
        <v>Pap</v>
      </c>
      <c r="G859" s="10" t="str">
        <f>_xlfn.XLOOKUP(B859,[1]!Tabela1[[Cidades ]],[1]!Tabela1[Regional],0,0,1)</f>
        <v>Jean</v>
      </c>
      <c r="H859" s="13" t="str">
        <f>_xlfn.XLOOKUP(B859,[1]!Tabela1[[Cidades ]],[1]!Tabela1[Gerente],0,0,1)</f>
        <v>Demais coordenadores</v>
      </c>
    </row>
    <row r="860" spans="1:8" x14ac:dyDescent="0.3">
      <c r="A860" s="4" t="s">
        <v>1027</v>
      </c>
      <c r="B860" s="5" t="s">
        <v>53</v>
      </c>
      <c r="C860" s="6">
        <v>45836</v>
      </c>
      <c r="D860" s="7">
        <v>844068</v>
      </c>
      <c r="E860" s="5" t="str">
        <f>_xlfn.XLOOKUP(D860,[1]!Tabela24[Código consultor],[1]!Tabela24[Consultor Venda],0,0,1)</f>
        <v>COM - DOS - GABRIEL SPINDOLA RAMOS CORREA</v>
      </c>
      <c r="F860" s="5" t="str">
        <f>_xlfn.XLOOKUP(D860,[1]!Tabela24[Código consultor],[1]!Tabela24[Canal Consultor],0,0,1)</f>
        <v>Pap</v>
      </c>
      <c r="G860" s="5" t="str">
        <f>_xlfn.XLOOKUP(B860,[1]!Tabela1[[Cidades ]],[1]!Tabela1[Regional],0,0,1)</f>
        <v>Adilson</v>
      </c>
      <c r="H860" s="8" t="str">
        <f>_xlfn.XLOOKUP(B860,[1]!Tabela1[[Cidades ]],[1]!Tabela1[Gerente],0,0,1)</f>
        <v>Demais coordenadores</v>
      </c>
    </row>
    <row r="861" spans="1:8" x14ac:dyDescent="0.3">
      <c r="A861" s="9" t="s">
        <v>1029</v>
      </c>
      <c r="B861" s="10" t="s">
        <v>12</v>
      </c>
      <c r="C861" s="11">
        <v>45836</v>
      </c>
      <c r="D861" s="12">
        <v>236724</v>
      </c>
      <c r="E861" s="5" t="str">
        <f>_xlfn.XLOOKUP(D861,[1]!Tabela24[Código consultor],[1]!Tabela24[Consultor Venda],0,0,1)</f>
        <v>COM - PGO - MAISE GABRIELLY BATISTA</v>
      </c>
      <c r="F861" s="5" t="str">
        <f>_xlfn.XLOOKUP(D861,[1]!Tabela24[Código consultor],[1]!Tabela24[Canal Consultor],0,0,1)</f>
        <v>INTERNO</v>
      </c>
      <c r="G861" s="10" t="str">
        <f>_xlfn.XLOOKUP(B861,[1]!Tabela1[[Cidades ]],[1]!Tabela1[Regional],0,0,1)</f>
        <v>Jean</v>
      </c>
      <c r="H861" s="13" t="str">
        <f>_xlfn.XLOOKUP(B861,[1]!Tabela1[[Cidades ]],[1]!Tabela1[Gerente],0,0,1)</f>
        <v>Demais coordenadores</v>
      </c>
    </row>
    <row r="862" spans="1:8" x14ac:dyDescent="0.3">
      <c r="A862" s="4" t="s">
        <v>1030</v>
      </c>
      <c r="B862" s="5" t="s">
        <v>48</v>
      </c>
      <c r="C862" s="6">
        <v>45836</v>
      </c>
      <c r="D862" s="7">
        <v>843026</v>
      </c>
      <c r="E862" s="5" t="str">
        <f>_xlfn.XLOOKUP(D862,[1]!Tabela24[Código consultor],[1]!Tabela24[Consultor Venda],0,0,1)</f>
        <v>PAR - COM - PSW - TORMEN INFORMATICA - THIAGO BISATO</v>
      </c>
      <c r="F862" s="5" t="str">
        <f>_xlfn.XLOOKUP(D862,[1]!Tabela24[Código consultor],[1]!Tabela24[Canal Consultor],0,0,1)</f>
        <v>PAR</v>
      </c>
      <c r="G862" s="5" t="str">
        <f>_xlfn.XLOOKUP(B862,[1]!Tabela1[[Cidades ]],[1]!Tabela1[Regional],0,0,1)</f>
        <v>Maycon</v>
      </c>
      <c r="H862" s="8" t="str">
        <f>_xlfn.XLOOKUP(B862,[1]!Tabela1[[Cidades ]],[1]!Tabela1[Gerente],0,0,1)</f>
        <v>Demais coordenadores</v>
      </c>
    </row>
    <row r="863" spans="1:8" x14ac:dyDescent="0.3">
      <c r="A863" s="9" t="s">
        <v>1031</v>
      </c>
      <c r="B863" s="10" t="s">
        <v>22</v>
      </c>
      <c r="C863" s="11">
        <v>45836</v>
      </c>
      <c r="D863" s="12">
        <v>884801</v>
      </c>
      <c r="E863" s="5" t="str">
        <f>_xlfn.XLOOKUP(D863,[1]!Tabela24[Código consultor],[1]!Tabela24[Consultor Venda],0,0,1)</f>
        <v>COM - SCR - JOAO UALISON DOS SANTOS SIMIANER</v>
      </c>
      <c r="F863" s="5" t="str">
        <f>_xlfn.XLOOKUP(D863,[1]!Tabela24[Código consultor],[1]!Tabela24[Canal Consultor],0,0,1)</f>
        <v>INTERNO</v>
      </c>
      <c r="G863" s="10" t="str">
        <f>_xlfn.XLOOKUP(B863,[1]!Tabela1[[Cidades ]],[1]!Tabela1[Regional],0,0,1)</f>
        <v>Magno</v>
      </c>
      <c r="H863" s="13" t="str">
        <f>_xlfn.XLOOKUP(B863,[1]!Tabela1[[Cidades ]],[1]!Tabela1[Gerente],0,0,1)</f>
        <v>Demais coordenadores</v>
      </c>
    </row>
    <row r="864" spans="1:8" x14ac:dyDescent="0.3">
      <c r="A864" s="4" t="s">
        <v>1032</v>
      </c>
      <c r="B864" s="5" t="s">
        <v>53</v>
      </c>
      <c r="C864" s="6">
        <v>45836</v>
      </c>
      <c r="D864" s="7">
        <v>844068</v>
      </c>
      <c r="E864" s="5" t="str">
        <f>_xlfn.XLOOKUP(D864,[1]!Tabela24[Código consultor],[1]!Tabela24[Consultor Venda],0,0,1)</f>
        <v>COM - DOS - GABRIEL SPINDOLA RAMOS CORREA</v>
      </c>
      <c r="F864" s="5" t="str">
        <f>_xlfn.XLOOKUP(D864,[1]!Tabela24[Código consultor],[1]!Tabela24[Canal Consultor],0,0,1)</f>
        <v>Pap</v>
      </c>
      <c r="G864" s="5" t="str">
        <f>_xlfn.XLOOKUP(B864,[1]!Tabela1[[Cidades ]],[1]!Tabela1[Regional],0,0,1)</f>
        <v>Adilson</v>
      </c>
      <c r="H864" s="8" t="str">
        <f>_xlfn.XLOOKUP(B864,[1]!Tabela1[[Cidades ]],[1]!Tabela1[Gerente],0,0,1)</f>
        <v>Demais coordenadores</v>
      </c>
    </row>
    <row r="865" spans="1:8" x14ac:dyDescent="0.3">
      <c r="A865" s="9" t="s">
        <v>1037</v>
      </c>
      <c r="B865" s="10" t="s">
        <v>30</v>
      </c>
      <c r="C865" s="11">
        <v>45836</v>
      </c>
      <c r="D865" s="12">
        <v>829353</v>
      </c>
      <c r="E865" s="5" t="str">
        <f>_xlfn.XLOOKUP(D865,[1]!Tabela24[Código consultor],[1]!Tabela24[Consultor Venda],0,0,1)</f>
        <v>COM - IGA - KARL EDUARDO MORAES DE ALMEIDA</v>
      </c>
      <c r="F865" s="5" t="str">
        <f>_xlfn.XLOOKUP(D865,[1]!Tabela24[Código consultor],[1]!Tabela24[Canal Consultor],0,0,1)</f>
        <v>Pap</v>
      </c>
      <c r="G865" s="10" t="str">
        <f>_xlfn.XLOOKUP(B865,[1]!Tabela1[[Cidades ]],[1]!Tabela1[Regional],0,0,1)</f>
        <v>Jean</v>
      </c>
      <c r="H865" s="13" t="str">
        <f>_xlfn.XLOOKUP(B865,[1]!Tabela1[[Cidades ]],[1]!Tabela1[Gerente],0,0,1)</f>
        <v>Demais coordenadores</v>
      </c>
    </row>
    <row r="866" spans="1:8" x14ac:dyDescent="0.3">
      <c r="A866" s="4" t="s">
        <v>1039</v>
      </c>
      <c r="B866" s="5" t="s">
        <v>12</v>
      </c>
      <c r="C866" s="6">
        <v>45836</v>
      </c>
      <c r="D866" s="7">
        <v>866566</v>
      </c>
      <c r="E866" s="5" t="str">
        <f>_xlfn.XLOOKUP(D866,[1]!Tabela24[Código consultor],[1]!Tabela24[Consultor Venda],0,0,1)</f>
        <v>PAR - PAP - PGO - LIVIA FLAVIA NUNES LOPES SANTOS</v>
      </c>
      <c r="F866" s="5" t="str">
        <f>_xlfn.XLOOKUP(D866,[1]!Tabela24[Código consultor],[1]!Tabela24[Canal Consultor],0,0,1)</f>
        <v>PAR</v>
      </c>
      <c r="G866" s="5" t="str">
        <f>_xlfn.XLOOKUP(B866,[1]!Tabela1[[Cidades ]],[1]!Tabela1[Regional],0,0,1)</f>
        <v>Jean</v>
      </c>
      <c r="H866" s="8" t="str">
        <f>_xlfn.XLOOKUP(B866,[1]!Tabela1[[Cidades ]],[1]!Tabela1[Gerente],0,0,1)</f>
        <v>Demais coordenadores</v>
      </c>
    </row>
    <row r="867" spans="1:8" x14ac:dyDescent="0.3">
      <c r="A867" s="9" t="s">
        <v>1041</v>
      </c>
      <c r="B867" s="10" t="s">
        <v>30</v>
      </c>
      <c r="C867" s="11">
        <v>45836</v>
      </c>
      <c r="D867" s="12">
        <v>867522</v>
      </c>
      <c r="E867" s="5" t="str">
        <f>_xlfn.XLOOKUP(D867,[1]!Tabela24[Código consultor],[1]!Tabela24[Consultor Venda],0,0,1)</f>
        <v>COM - IGA - SANDRO CESAR MARTINS</v>
      </c>
      <c r="F867" s="5" t="str">
        <f>_xlfn.XLOOKUP(D867,[1]!Tabela24[Código consultor],[1]!Tabela24[Canal Consultor],0,0,1)</f>
        <v>Pap</v>
      </c>
      <c r="G867" s="10" t="str">
        <f>_xlfn.XLOOKUP(B867,[1]!Tabela1[[Cidades ]],[1]!Tabela1[Regional],0,0,1)</f>
        <v>Jean</v>
      </c>
      <c r="H867" s="13" t="str">
        <f>_xlfn.XLOOKUP(B867,[1]!Tabela1[[Cidades ]],[1]!Tabela1[Gerente],0,0,1)</f>
        <v>Demais coordenadores</v>
      </c>
    </row>
    <row r="868" spans="1:8" x14ac:dyDescent="0.3">
      <c r="A868" s="4" t="s">
        <v>1042</v>
      </c>
      <c r="B868" s="5" t="s">
        <v>64</v>
      </c>
      <c r="C868" s="6">
        <v>45836</v>
      </c>
      <c r="D868" s="7">
        <v>790437</v>
      </c>
      <c r="E868" s="5" t="str">
        <f>_xlfn.XLOOKUP(D868,[1]!Tabela24[Código consultor],[1]!Tabela24[Consultor Venda],0,0,1)</f>
        <v>COM - TEB - ROSANI APARECIDA FERREIRA</v>
      </c>
      <c r="F868" s="5" t="str">
        <f>_xlfn.XLOOKUP(D868,[1]!Tabela24[Código consultor],[1]!Tabela24[Canal Consultor],0,0,1)</f>
        <v>Pap</v>
      </c>
      <c r="G868" s="5" t="str">
        <f>_xlfn.XLOOKUP(B868,[1]!Tabela1[[Cidades ]],[1]!Tabela1[Regional],0,0,1)</f>
        <v>Jean</v>
      </c>
      <c r="H868" s="8" t="str">
        <f>_xlfn.XLOOKUP(B868,[1]!Tabela1[[Cidades ]],[1]!Tabela1[Gerente],0,0,1)</f>
        <v>Demais coordenadores</v>
      </c>
    </row>
    <row r="869" spans="1:8" x14ac:dyDescent="0.3">
      <c r="A869" s="9" t="s">
        <v>1043</v>
      </c>
      <c r="B869" s="10" t="s">
        <v>74</v>
      </c>
      <c r="C869" s="11">
        <v>45836</v>
      </c>
      <c r="D869" s="12">
        <v>873688</v>
      </c>
      <c r="E869" s="5" t="str">
        <f>_xlfn.XLOOKUP(D869,[1]!Tabela24[Código consultor],[1]!Tabela24[Consultor Venda],0,0,1)</f>
        <v>COM - SSL - WESLEY MATHEUS GORDYA PILLAR</v>
      </c>
      <c r="F869" s="5" t="str">
        <f>_xlfn.XLOOKUP(D869,[1]!Tabela24[Código consultor],[1]!Tabela24[Canal Consultor],0,0,1)</f>
        <v>Pap</v>
      </c>
      <c r="G869" s="10" t="str">
        <f>_xlfn.XLOOKUP(B869,[1]!Tabela1[[Cidades ]],[1]!Tabela1[Regional],0,0,1)</f>
        <v>Jean</v>
      </c>
      <c r="H869" s="13" t="str">
        <f>_xlfn.XLOOKUP(B869,[1]!Tabela1[[Cidades ]],[1]!Tabela1[Gerente],0,0,1)</f>
        <v>Demais coordenadores</v>
      </c>
    </row>
    <row r="870" spans="1:8" x14ac:dyDescent="0.3">
      <c r="A870" s="4" t="s">
        <v>1048</v>
      </c>
      <c r="B870" s="5" t="s">
        <v>10</v>
      </c>
      <c r="C870" s="6">
        <v>45836</v>
      </c>
      <c r="D870" s="7">
        <v>233138</v>
      </c>
      <c r="E870" s="5" t="str">
        <f>_xlfn.XLOOKUP(D870,[1]!Tabela24[Código consultor],[1]!Tabela24[Consultor Venda],0,0,1)</f>
        <v>PAR - INTE - GRP - MOBILE HD - ALINE KARNOSKI</v>
      </c>
      <c r="F870" s="5" t="str">
        <f>_xlfn.XLOOKUP(D870,[1]!Tabela24[Código consultor],[1]!Tabela24[Canal Consultor],0,0,1)</f>
        <v>PAR</v>
      </c>
      <c r="G870" s="5" t="str">
        <f>_xlfn.XLOOKUP(B870,[1]!Tabela1[[Cidades ]],[1]!Tabela1[Regional],0,0,1)</f>
        <v>Jean</v>
      </c>
      <c r="H870" s="8" t="str">
        <f>_xlfn.XLOOKUP(B870,[1]!Tabela1[[Cidades ]],[1]!Tabela1[Gerente],0,0,1)</f>
        <v>Demais coordenadores</v>
      </c>
    </row>
    <row r="871" spans="1:8" x14ac:dyDescent="0.3">
      <c r="A871" s="9" t="s">
        <v>1055</v>
      </c>
      <c r="B871" s="10" t="s">
        <v>11</v>
      </c>
      <c r="C871" s="11">
        <v>45837</v>
      </c>
      <c r="D871" s="12">
        <v>788656</v>
      </c>
      <c r="E871" s="5" t="str">
        <f>_xlfn.XLOOKUP(D871,[1]!Tabela24[Código consultor],[1]!Tabela24[Consultor Venda],0,0,1)</f>
        <v>PAR - STB - PAP - JOY TELECOM - GABRIELA ALVES DE GODOY</v>
      </c>
      <c r="F871" s="5" t="str">
        <f>_xlfn.XLOOKUP(D871,[1]!Tabela24[Código consultor],[1]!Tabela24[Canal Consultor],0,0,1)</f>
        <v>PAR_DIG</v>
      </c>
      <c r="G871" s="10" t="str">
        <f>_xlfn.XLOOKUP(B871,[1]!Tabela1[[Cidades ]],[1]!Tabela1[Regional],0,0,1)</f>
        <v>Magno</v>
      </c>
      <c r="H871" s="13" t="str">
        <f>_xlfn.XLOOKUP(B871,[1]!Tabela1[[Cidades ]],[1]!Tabela1[Gerente],0,0,1)</f>
        <v>Demais coordenadores</v>
      </c>
    </row>
    <row r="872" spans="1:8" x14ac:dyDescent="0.3">
      <c r="A872" s="4" t="s">
        <v>209</v>
      </c>
      <c r="B872" s="5" t="s">
        <v>24</v>
      </c>
      <c r="C872" s="6">
        <v>45837</v>
      </c>
      <c r="D872" s="7">
        <v>560570</v>
      </c>
      <c r="E872" s="5" t="str">
        <f>_xlfn.XLOOKUP(D872,[1]!Tabela24[Código consultor],[1]!Tabela24[Consultor Venda],0,0,1)</f>
        <v>COM - CSL - ISMAEL LUIZ DA CRUZ</v>
      </c>
      <c r="F872" s="5" t="str">
        <f>_xlfn.XLOOKUP(D872,[1]!Tabela24[Código consultor],[1]!Tabela24[Canal Consultor],0,0,1)</f>
        <v>Pap</v>
      </c>
      <c r="G872" s="5" t="str">
        <f>_xlfn.XLOOKUP(B872,[1]!Tabela1[[Cidades ]],[1]!Tabela1[Regional],0,0,1)</f>
        <v>Magno</v>
      </c>
      <c r="H872" s="8" t="str">
        <f>_xlfn.XLOOKUP(B872,[1]!Tabela1[[Cidades ]],[1]!Tabela1[Gerente],0,0,1)</f>
        <v>Demais coordenadores</v>
      </c>
    </row>
    <row r="873" spans="1:8" x14ac:dyDescent="0.3">
      <c r="A873" s="9" t="s">
        <v>1057</v>
      </c>
      <c r="B873" s="10" t="s">
        <v>35</v>
      </c>
      <c r="C873" s="11">
        <v>45837</v>
      </c>
      <c r="D873" s="12">
        <v>788656</v>
      </c>
      <c r="E873" s="5" t="str">
        <f>_xlfn.XLOOKUP(D873,[1]!Tabela24[Código consultor],[1]!Tabela24[Consultor Venda],0,0,1)</f>
        <v>PAR - STB - PAP - JOY TELECOM - GABRIELA ALVES DE GODOY</v>
      </c>
      <c r="F873" s="5" t="str">
        <f>_xlfn.XLOOKUP(D873,[1]!Tabela24[Código consultor],[1]!Tabela24[Canal Consultor],0,0,1)</f>
        <v>PAR_DIG</v>
      </c>
      <c r="G873" s="10" t="str">
        <f>_xlfn.XLOOKUP(B873,[1]!Tabela1[[Cidades ]],[1]!Tabela1[Regional],0,0,1)</f>
        <v>Magno</v>
      </c>
      <c r="H873" s="13" t="str">
        <f>_xlfn.XLOOKUP(B873,[1]!Tabela1[[Cidades ]],[1]!Tabela1[Gerente],0,0,1)</f>
        <v>Demais coordenadores</v>
      </c>
    </row>
    <row r="874" spans="1:8" x14ac:dyDescent="0.3">
      <c r="A874" s="4" t="s">
        <v>1059</v>
      </c>
      <c r="B874" s="5" t="s">
        <v>12</v>
      </c>
      <c r="C874" s="6">
        <v>45837</v>
      </c>
      <c r="D874" s="7">
        <v>788656</v>
      </c>
      <c r="E874" s="5" t="str">
        <f>_xlfn.XLOOKUP(D874,[1]!Tabela24[Código consultor],[1]!Tabela24[Consultor Venda],0,0,1)</f>
        <v>PAR - STB - PAP - JOY TELECOM - GABRIELA ALVES DE GODOY</v>
      </c>
      <c r="F874" s="5" t="str">
        <f>_xlfn.XLOOKUP(D874,[1]!Tabela24[Código consultor],[1]!Tabela24[Canal Consultor],0,0,1)</f>
        <v>PAR_DIG</v>
      </c>
      <c r="G874" s="5" t="str">
        <f>_xlfn.XLOOKUP(B874,[1]!Tabela1[[Cidades ]],[1]!Tabela1[Regional],0,0,1)</f>
        <v>Jean</v>
      </c>
      <c r="H874" s="8" t="str">
        <f>_xlfn.XLOOKUP(B874,[1]!Tabela1[[Cidades ]],[1]!Tabela1[Gerente],0,0,1)</f>
        <v>Demais coordenadores</v>
      </c>
    </row>
    <row r="875" spans="1:8" x14ac:dyDescent="0.3">
      <c r="A875" s="9" t="s">
        <v>1060</v>
      </c>
      <c r="B875" s="10" t="s">
        <v>22</v>
      </c>
      <c r="C875" s="11">
        <v>45837</v>
      </c>
      <c r="D875" s="12">
        <v>788656</v>
      </c>
      <c r="E875" s="5" t="str">
        <f>_xlfn.XLOOKUP(D875,[1]!Tabela24[Código consultor],[1]!Tabela24[Consultor Venda],0,0,1)</f>
        <v>PAR - STB - PAP - JOY TELECOM - GABRIELA ALVES DE GODOY</v>
      </c>
      <c r="F875" s="5" t="str">
        <f>_xlfn.XLOOKUP(D875,[1]!Tabela24[Código consultor],[1]!Tabela24[Canal Consultor],0,0,1)</f>
        <v>PAR_DIG</v>
      </c>
      <c r="G875" s="10" t="str">
        <f>_xlfn.XLOOKUP(B875,[1]!Tabela1[[Cidades ]],[1]!Tabela1[Regional],0,0,1)</f>
        <v>Magno</v>
      </c>
      <c r="H875" s="13" t="str">
        <f>_xlfn.XLOOKUP(B875,[1]!Tabela1[[Cidades ]],[1]!Tabela1[Gerente],0,0,1)</f>
        <v>Demais coordenadores</v>
      </c>
    </row>
    <row r="876" spans="1:8" x14ac:dyDescent="0.3">
      <c r="A876" s="4" t="s">
        <v>1062</v>
      </c>
      <c r="B876" s="5" t="s">
        <v>16</v>
      </c>
      <c r="C876" s="6">
        <v>45837</v>
      </c>
      <c r="D876" s="7">
        <v>788656</v>
      </c>
      <c r="E876" s="5" t="str">
        <f>_xlfn.XLOOKUP(D876,[1]!Tabela24[Código consultor],[1]!Tabela24[Consultor Venda],0,0,1)</f>
        <v>PAR - STB - PAP - JOY TELECOM - GABRIELA ALVES DE GODOY</v>
      </c>
      <c r="F876" s="5" t="str">
        <f>_xlfn.XLOOKUP(D876,[1]!Tabela24[Código consultor],[1]!Tabela24[Canal Consultor],0,0,1)</f>
        <v>PAR_DIG</v>
      </c>
      <c r="G876" s="5" t="str">
        <f>_xlfn.XLOOKUP(B876,[1]!Tabela1[[Cidades ]],[1]!Tabela1[Regional],0,0,1)</f>
        <v>Magno</v>
      </c>
      <c r="H876" s="8" t="str">
        <f>_xlfn.XLOOKUP(B876,[1]!Tabela1[[Cidades ]],[1]!Tabela1[Gerente],0,0,1)</f>
        <v>Demais coordenadores</v>
      </c>
    </row>
    <row r="877" spans="1:8" x14ac:dyDescent="0.3">
      <c r="A877" s="9" t="s">
        <v>1064</v>
      </c>
      <c r="B877" s="10" t="s">
        <v>12</v>
      </c>
      <c r="C877" s="11">
        <v>45837</v>
      </c>
      <c r="D877" s="12">
        <v>788656</v>
      </c>
      <c r="E877" s="5" t="str">
        <f>_xlfn.XLOOKUP(D877,[1]!Tabela24[Código consultor],[1]!Tabela24[Consultor Venda],0,0,1)</f>
        <v>PAR - STB - PAP - JOY TELECOM - GABRIELA ALVES DE GODOY</v>
      </c>
      <c r="F877" s="5" t="str">
        <f>_xlfn.XLOOKUP(D877,[1]!Tabela24[Código consultor],[1]!Tabela24[Canal Consultor],0,0,1)</f>
        <v>PAR_DIG</v>
      </c>
      <c r="G877" s="10" t="str">
        <f>_xlfn.XLOOKUP(B877,[1]!Tabela1[[Cidades ]],[1]!Tabela1[Regional],0,0,1)</f>
        <v>Jean</v>
      </c>
      <c r="H877" s="13" t="str">
        <f>_xlfn.XLOOKUP(B877,[1]!Tabela1[[Cidades ]],[1]!Tabela1[Gerente],0,0,1)</f>
        <v>Demais coordenadores</v>
      </c>
    </row>
    <row r="878" spans="1:8" x14ac:dyDescent="0.3">
      <c r="A878" s="4" t="s">
        <v>1065</v>
      </c>
      <c r="B878" s="5" t="s">
        <v>60</v>
      </c>
      <c r="C878" s="6">
        <v>45837</v>
      </c>
      <c r="D878" s="7">
        <v>165769</v>
      </c>
      <c r="E878" s="5" t="str">
        <f>_xlfn.XLOOKUP(D878,[1]!Tabela24[Código consultor],[1]!Tabela24[Consultor Venda],0,0,1)</f>
        <v>PAR - PAP - GTI - THALIA SP - THALIA DA SILVA PEREIRA</v>
      </c>
      <c r="F878" s="5" t="str">
        <f>_xlfn.XLOOKUP(D878,[1]!Tabela24[Código consultor],[1]!Tabela24[Canal Consultor],0,0,1)</f>
        <v>PAR</v>
      </c>
      <c r="G878" s="5" t="str">
        <f>_xlfn.XLOOKUP(B878,[1]!Tabela1[[Cidades ]],[1]!Tabela1[Regional],0,0,1)</f>
        <v>Magno</v>
      </c>
      <c r="H878" s="8" t="str">
        <f>_xlfn.XLOOKUP(B878,[1]!Tabela1[[Cidades ]],[1]!Tabela1[Gerente],0,0,1)</f>
        <v>Demais coordenadores</v>
      </c>
    </row>
    <row r="879" spans="1:8" x14ac:dyDescent="0.3">
      <c r="A879" s="9" t="s">
        <v>1066</v>
      </c>
      <c r="B879" s="10" t="s">
        <v>12</v>
      </c>
      <c r="C879" s="11">
        <v>45837</v>
      </c>
      <c r="D879" s="12">
        <v>788656</v>
      </c>
      <c r="E879" s="5" t="str">
        <f>_xlfn.XLOOKUP(D879,[1]!Tabela24[Código consultor],[1]!Tabela24[Consultor Venda],0,0,1)</f>
        <v>PAR - STB - PAP - JOY TELECOM - GABRIELA ALVES DE GODOY</v>
      </c>
      <c r="F879" s="5" t="str">
        <f>_xlfn.XLOOKUP(D879,[1]!Tabela24[Código consultor],[1]!Tabela24[Canal Consultor],0,0,1)</f>
        <v>PAR_DIG</v>
      </c>
      <c r="G879" s="10" t="str">
        <f>_xlfn.XLOOKUP(B879,[1]!Tabela1[[Cidades ]],[1]!Tabela1[Regional],0,0,1)</f>
        <v>Jean</v>
      </c>
      <c r="H879" s="13" t="str">
        <f>_xlfn.XLOOKUP(B879,[1]!Tabela1[[Cidades ]],[1]!Tabela1[Gerente],0,0,1)</f>
        <v>Demais coordenadores</v>
      </c>
    </row>
    <row r="880" spans="1:8" x14ac:dyDescent="0.3">
      <c r="A880" s="4" t="s">
        <v>1067</v>
      </c>
      <c r="B880" s="5" t="s">
        <v>12</v>
      </c>
      <c r="C880" s="6">
        <v>45837</v>
      </c>
      <c r="D880" s="7">
        <v>788656</v>
      </c>
      <c r="E880" s="5" t="str">
        <f>_xlfn.XLOOKUP(D880,[1]!Tabela24[Código consultor],[1]!Tabela24[Consultor Venda],0,0,1)</f>
        <v>PAR - STB - PAP - JOY TELECOM - GABRIELA ALVES DE GODOY</v>
      </c>
      <c r="F880" s="5" t="str">
        <f>_xlfn.XLOOKUP(D880,[1]!Tabela24[Código consultor],[1]!Tabela24[Canal Consultor],0,0,1)</f>
        <v>PAR_DIG</v>
      </c>
      <c r="G880" s="5" t="str">
        <f>_xlfn.XLOOKUP(B880,[1]!Tabela1[[Cidades ]],[1]!Tabela1[Regional],0,0,1)</f>
        <v>Jean</v>
      </c>
      <c r="H880" s="8" t="str">
        <f>_xlfn.XLOOKUP(B880,[1]!Tabela1[[Cidades ]],[1]!Tabela1[Gerente],0,0,1)</f>
        <v>Demais coordenadores</v>
      </c>
    </row>
    <row r="881" spans="1:8" x14ac:dyDescent="0.3">
      <c r="A881" s="9" t="s">
        <v>1068</v>
      </c>
      <c r="B881" s="10" t="s">
        <v>31</v>
      </c>
      <c r="C881" s="11">
        <v>45837</v>
      </c>
      <c r="D881" s="12">
        <v>788656</v>
      </c>
      <c r="E881" s="5" t="str">
        <f>_xlfn.XLOOKUP(D881,[1]!Tabela24[Código consultor],[1]!Tabela24[Consultor Venda],0,0,1)</f>
        <v>PAR - STB - PAP - JOY TELECOM - GABRIELA ALVES DE GODOY</v>
      </c>
      <c r="F881" s="5" t="str">
        <f>_xlfn.XLOOKUP(D881,[1]!Tabela24[Código consultor],[1]!Tabela24[Canal Consultor],0,0,1)</f>
        <v>PAR_DIG</v>
      </c>
      <c r="G881" s="10" t="str">
        <f>_xlfn.XLOOKUP(B881,[1]!Tabela1[[Cidades ]],[1]!Tabela1[Regional],0,0,1)</f>
        <v>Maycon</v>
      </c>
      <c r="H881" s="13" t="str">
        <f>_xlfn.XLOOKUP(B881,[1]!Tabela1[[Cidades ]],[1]!Tabela1[Gerente],0,0,1)</f>
        <v>Demais coordenadores</v>
      </c>
    </row>
    <row r="882" spans="1:8" x14ac:dyDescent="0.3">
      <c r="A882" s="4" t="s">
        <v>1069</v>
      </c>
      <c r="B882" s="5" t="s">
        <v>23</v>
      </c>
      <c r="C882" s="6">
        <v>45837</v>
      </c>
      <c r="D882" s="7">
        <v>165769</v>
      </c>
      <c r="E882" s="5" t="str">
        <f>_xlfn.XLOOKUP(D882,[1]!Tabela24[Código consultor],[1]!Tabela24[Consultor Venda],0,0,1)</f>
        <v>PAR - PAP - GTI - THALIA SP - THALIA DA SILVA PEREIRA</v>
      </c>
      <c r="F882" s="5" t="str">
        <f>_xlfn.XLOOKUP(D882,[1]!Tabela24[Código consultor],[1]!Tabela24[Canal Consultor],0,0,1)</f>
        <v>PAR</v>
      </c>
      <c r="G882" s="5" t="str">
        <f>_xlfn.XLOOKUP(B882,[1]!Tabela1[[Cidades ]],[1]!Tabela1[Regional],0,0,1)</f>
        <v>Magno</v>
      </c>
      <c r="H882" s="8" t="str">
        <f>_xlfn.XLOOKUP(B882,[1]!Tabela1[[Cidades ]],[1]!Tabela1[Gerente],0,0,1)</f>
        <v>Demais coordenadores</v>
      </c>
    </row>
    <row r="883" spans="1:8" x14ac:dyDescent="0.3">
      <c r="A883" s="9" t="s">
        <v>1070</v>
      </c>
      <c r="B883" s="10" t="s">
        <v>125</v>
      </c>
      <c r="C883" s="11">
        <v>45837</v>
      </c>
      <c r="D883" s="12">
        <v>177442</v>
      </c>
      <c r="E883" s="5" t="str">
        <f>_xlfn.XLOOKUP(D883,[1]!Tabela24[Código consultor],[1]!Tabela24[Consultor Venda],0,0,1)</f>
        <v>COM - XXE - MARCOS MEZZOMO</v>
      </c>
      <c r="F883" s="5" t="str">
        <f>_xlfn.XLOOKUP(D883,[1]!Tabela24[Código consultor],[1]!Tabela24[Canal Consultor],0,0,1)</f>
        <v>Pap</v>
      </c>
      <c r="G883" s="10" t="str">
        <f>_xlfn.XLOOKUP(B883,[1]!Tabela1[[Cidades ]],[1]!Tabela1[Regional],0,0,1)</f>
        <v>Maycon</v>
      </c>
      <c r="H883" s="13" t="str">
        <f>_xlfn.XLOOKUP(B883,[1]!Tabela1[[Cidades ]],[1]!Tabela1[Gerente],0,0,1)</f>
        <v>Demais coordenadores</v>
      </c>
    </row>
    <row r="884" spans="1:8" x14ac:dyDescent="0.3">
      <c r="A884" s="4" t="s">
        <v>1071</v>
      </c>
      <c r="B884" s="5" t="s">
        <v>11</v>
      </c>
      <c r="C884" s="6">
        <v>45837</v>
      </c>
      <c r="D884" s="7">
        <v>788656</v>
      </c>
      <c r="E884" s="5" t="str">
        <f>_xlfn.XLOOKUP(D884,[1]!Tabela24[Código consultor],[1]!Tabela24[Consultor Venda],0,0,1)</f>
        <v>PAR - STB - PAP - JOY TELECOM - GABRIELA ALVES DE GODOY</v>
      </c>
      <c r="F884" s="5" t="str">
        <f>_xlfn.XLOOKUP(D884,[1]!Tabela24[Código consultor],[1]!Tabela24[Canal Consultor],0,0,1)</f>
        <v>PAR_DIG</v>
      </c>
      <c r="G884" s="5" t="str">
        <f>_xlfn.XLOOKUP(B884,[1]!Tabela1[[Cidades ]],[1]!Tabela1[Regional],0,0,1)</f>
        <v>Magno</v>
      </c>
      <c r="H884" s="8" t="str">
        <f>_xlfn.XLOOKUP(B884,[1]!Tabela1[[Cidades ]],[1]!Tabela1[Gerente],0,0,1)</f>
        <v>Demais coordenadores</v>
      </c>
    </row>
    <row r="885" spans="1:8" x14ac:dyDescent="0.3">
      <c r="A885" s="9" t="s">
        <v>1073</v>
      </c>
      <c r="B885" s="10" t="s">
        <v>11</v>
      </c>
      <c r="C885" s="11">
        <v>45837</v>
      </c>
      <c r="D885" s="12">
        <v>165769</v>
      </c>
      <c r="E885" s="5" t="str">
        <f>_xlfn.XLOOKUP(D885,[1]!Tabela24[Código consultor],[1]!Tabela24[Consultor Venda],0,0,1)</f>
        <v>PAR - PAP - GTI - THALIA SP - THALIA DA SILVA PEREIRA</v>
      </c>
      <c r="F885" s="5" t="str">
        <f>_xlfn.XLOOKUP(D885,[1]!Tabela24[Código consultor],[1]!Tabela24[Canal Consultor],0,0,1)</f>
        <v>PAR</v>
      </c>
      <c r="G885" s="10" t="str">
        <f>_xlfn.XLOOKUP(B885,[1]!Tabela1[[Cidades ]],[1]!Tabela1[Regional],0,0,1)</f>
        <v>Magno</v>
      </c>
      <c r="H885" s="13" t="str">
        <f>_xlfn.XLOOKUP(B885,[1]!Tabela1[[Cidades ]],[1]!Tabela1[Gerente],0,0,1)</f>
        <v>Demais coordenadores</v>
      </c>
    </row>
    <row r="886" spans="1:8" x14ac:dyDescent="0.3">
      <c r="A886" s="4" t="s">
        <v>1056</v>
      </c>
      <c r="B886" s="5" t="s">
        <v>27</v>
      </c>
      <c r="C886" s="6">
        <v>45837</v>
      </c>
      <c r="D886" s="7">
        <v>165769</v>
      </c>
      <c r="E886" s="5" t="str">
        <f>_xlfn.XLOOKUP(D886,[1]!Tabela24[Código consultor],[1]!Tabela24[Consultor Venda],0,0,1)</f>
        <v>PAR - PAP - GTI - THALIA SP - THALIA DA SILVA PEREIRA</v>
      </c>
      <c r="F886" s="5" t="str">
        <f>_xlfn.XLOOKUP(D886,[1]!Tabela24[Código consultor],[1]!Tabela24[Canal Consultor],0,0,1)</f>
        <v>PAR</v>
      </c>
      <c r="G886" s="5" t="str">
        <f>_xlfn.XLOOKUP(B886,[1]!Tabela1[[Cidades ]],[1]!Tabela1[Regional],0,0,1)</f>
        <v>Alisson</v>
      </c>
      <c r="H886" s="8" t="str">
        <f>_xlfn.XLOOKUP(B886,[1]!Tabela1[[Cidades ]],[1]!Tabela1[Gerente],0,0,1)</f>
        <v>Tatiane</v>
      </c>
    </row>
    <row r="887" spans="1:8" x14ac:dyDescent="0.3">
      <c r="A887" s="9" t="s">
        <v>1074</v>
      </c>
      <c r="B887" s="10" t="s">
        <v>11</v>
      </c>
      <c r="C887" s="11">
        <v>45837</v>
      </c>
      <c r="D887" s="12">
        <v>788656</v>
      </c>
      <c r="E887" s="5" t="str">
        <f>_xlfn.XLOOKUP(D887,[1]!Tabela24[Código consultor],[1]!Tabela24[Consultor Venda],0,0,1)</f>
        <v>PAR - STB - PAP - JOY TELECOM - GABRIELA ALVES DE GODOY</v>
      </c>
      <c r="F887" s="5" t="str">
        <f>_xlfn.XLOOKUP(D887,[1]!Tabela24[Código consultor],[1]!Tabela24[Canal Consultor],0,0,1)</f>
        <v>PAR_DIG</v>
      </c>
      <c r="G887" s="10" t="str">
        <f>_xlfn.XLOOKUP(B887,[1]!Tabela1[[Cidades ]],[1]!Tabela1[Regional],0,0,1)</f>
        <v>Magno</v>
      </c>
      <c r="H887" s="13" t="str">
        <f>_xlfn.XLOOKUP(B887,[1]!Tabela1[[Cidades ]],[1]!Tabela1[Gerente],0,0,1)</f>
        <v>Demais coordenadores</v>
      </c>
    </row>
    <row r="888" spans="1:8" x14ac:dyDescent="0.3">
      <c r="A888" s="4" t="s">
        <v>1075</v>
      </c>
      <c r="B888" s="5" t="s">
        <v>29</v>
      </c>
      <c r="C888" s="6">
        <v>45837</v>
      </c>
      <c r="D888" s="7">
        <v>788656</v>
      </c>
      <c r="E888" s="5" t="str">
        <f>_xlfn.XLOOKUP(D888,[1]!Tabela24[Código consultor],[1]!Tabela24[Consultor Venda],0,0,1)</f>
        <v>PAR - STB - PAP - JOY TELECOM - GABRIELA ALVES DE GODOY</v>
      </c>
      <c r="F888" s="5" t="str">
        <f>_xlfn.XLOOKUP(D888,[1]!Tabela24[Código consultor],[1]!Tabela24[Canal Consultor],0,0,1)</f>
        <v>PAR_DIG</v>
      </c>
      <c r="G888" s="5" t="str">
        <f>_xlfn.XLOOKUP(B888,[1]!Tabela1[[Cidades ]],[1]!Tabela1[Regional],0,0,1)</f>
        <v>Adilson</v>
      </c>
      <c r="H888" s="8" t="str">
        <f>_xlfn.XLOOKUP(B888,[1]!Tabela1[[Cidades ]],[1]!Tabela1[Gerente],0,0,1)</f>
        <v>Demais coordenadores</v>
      </c>
    </row>
    <row r="889" spans="1:8" x14ac:dyDescent="0.3">
      <c r="A889" s="9" t="s">
        <v>1058</v>
      </c>
      <c r="B889" s="10" t="s">
        <v>12</v>
      </c>
      <c r="C889" s="11">
        <v>45837</v>
      </c>
      <c r="D889" s="12">
        <v>788656</v>
      </c>
      <c r="E889" s="5" t="str">
        <f>_xlfn.XLOOKUP(D889,[1]!Tabela24[Código consultor],[1]!Tabela24[Consultor Venda],0,0,1)</f>
        <v>PAR - STB - PAP - JOY TELECOM - GABRIELA ALVES DE GODOY</v>
      </c>
      <c r="F889" s="5" t="str">
        <f>_xlfn.XLOOKUP(D889,[1]!Tabela24[Código consultor],[1]!Tabela24[Canal Consultor],0,0,1)</f>
        <v>PAR_DIG</v>
      </c>
      <c r="G889" s="10" t="str">
        <f>_xlfn.XLOOKUP(B889,[1]!Tabela1[[Cidades ]],[1]!Tabela1[Regional],0,0,1)</f>
        <v>Jean</v>
      </c>
      <c r="H889" s="13" t="str">
        <f>_xlfn.XLOOKUP(B889,[1]!Tabela1[[Cidades ]],[1]!Tabela1[Gerente],0,0,1)</f>
        <v>Demais coordenadores</v>
      </c>
    </row>
    <row r="890" spans="1:8" x14ac:dyDescent="0.3">
      <c r="A890" s="4" t="s">
        <v>1076</v>
      </c>
      <c r="B890" s="5" t="s">
        <v>39</v>
      </c>
      <c r="C890" s="6">
        <v>45837</v>
      </c>
      <c r="D890" s="7">
        <v>788656</v>
      </c>
      <c r="E890" s="5" t="str">
        <f>_xlfn.XLOOKUP(D890,[1]!Tabela24[Código consultor],[1]!Tabela24[Consultor Venda],0,0,1)</f>
        <v>PAR - STB - PAP - JOY TELECOM - GABRIELA ALVES DE GODOY</v>
      </c>
      <c r="F890" s="5" t="str">
        <f>_xlfn.XLOOKUP(D890,[1]!Tabela24[Código consultor],[1]!Tabela24[Canal Consultor],0,0,1)</f>
        <v>PAR_DIG</v>
      </c>
      <c r="G890" s="5" t="str">
        <f>_xlfn.XLOOKUP(B890,[1]!Tabela1[[Cidades ]],[1]!Tabela1[Regional],0,0,1)</f>
        <v>Marcio</v>
      </c>
      <c r="H890" s="8" t="str">
        <f>_xlfn.XLOOKUP(B890,[1]!Tabela1[[Cidades ]],[1]!Tabela1[Gerente],0,0,1)</f>
        <v>Demais coordenadores</v>
      </c>
    </row>
    <row r="891" spans="1:8" x14ac:dyDescent="0.3">
      <c r="A891" s="9" t="s">
        <v>1077</v>
      </c>
      <c r="B891" s="10" t="s">
        <v>53</v>
      </c>
      <c r="C891" s="11">
        <v>45837</v>
      </c>
      <c r="D891" s="12">
        <v>623344</v>
      </c>
      <c r="E891" s="5" t="str">
        <f>_xlfn.XLOOKUP(D891,[1]!Tabela24[Código consultor],[1]!Tabela24[Consultor Venda],0,0,1)</f>
        <v>COM - DOS - EDUARDO ALVARENGA CARDOSO VIEIRA</v>
      </c>
      <c r="F891" s="5" t="str">
        <f>_xlfn.XLOOKUP(D891,[1]!Tabela24[Código consultor],[1]!Tabela24[Canal Consultor],0,0,1)</f>
        <v>Pap</v>
      </c>
      <c r="G891" s="10" t="str">
        <f>_xlfn.XLOOKUP(B891,[1]!Tabela1[[Cidades ]],[1]!Tabela1[Regional],0,0,1)</f>
        <v>Adilson</v>
      </c>
      <c r="H891" s="13" t="str">
        <f>_xlfn.XLOOKUP(B891,[1]!Tabela1[[Cidades ]],[1]!Tabela1[Gerente],0,0,1)</f>
        <v>Demais coordenadores</v>
      </c>
    </row>
    <row r="892" spans="1:8" x14ac:dyDescent="0.3">
      <c r="A892" s="4" t="s">
        <v>1078</v>
      </c>
      <c r="B892" s="5" t="s">
        <v>10</v>
      </c>
      <c r="C892" s="6">
        <v>45837</v>
      </c>
      <c r="D892" s="7">
        <v>788656</v>
      </c>
      <c r="E892" s="5" t="str">
        <f>_xlfn.XLOOKUP(D892,[1]!Tabela24[Código consultor],[1]!Tabela24[Consultor Venda],0,0,1)</f>
        <v>PAR - STB - PAP - JOY TELECOM - GABRIELA ALVES DE GODOY</v>
      </c>
      <c r="F892" s="5" t="str">
        <f>_xlfn.XLOOKUP(D892,[1]!Tabela24[Código consultor],[1]!Tabela24[Canal Consultor],0,0,1)</f>
        <v>PAR_DIG</v>
      </c>
      <c r="G892" s="5" t="str">
        <f>_xlfn.XLOOKUP(B892,[1]!Tabela1[[Cidades ]],[1]!Tabela1[Regional],0,0,1)</f>
        <v>Jean</v>
      </c>
      <c r="H892" s="8" t="str">
        <f>_xlfn.XLOOKUP(B892,[1]!Tabela1[[Cidades ]],[1]!Tabela1[Gerente],0,0,1)</f>
        <v>Demais coordenadores</v>
      </c>
    </row>
    <row r="893" spans="1:8" x14ac:dyDescent="0.3">
      <c r="A893" s="9" t="s">
        <v>1079</v>
      </c>
      <c r="B893" s="10" t="s">
        <v>11</v>
      </c>
      <c r="C893" s="11">
        <v>45837</v>
      </c>
      <c r="D893" s="12">
        <v>788656</v>
      </c>
      <c r="E893" s="5" t="str">
        <f>_xlfn.XLOOKUP(D893,[1]!Tabela24[Código consultor],[1]!Tabela24[Consultor Venda],0,0,1)</f>
        <v>PAR - STB - PAP - JOY TELECOM - GABRIELA ALVES DE GODOY</v>
      </c>
      <c r="F893" s="5" t="str">
        <f>_xlfn.XLOOKUP(D893,[1]!Tabela24[Código consultor],[1]!Tabela24[Canal Consultor],0,0,1)</f>
        <v>PAR_DIG</v>
      </c>
      <c r="G893" s="10" t="str">
        <f>_xlfn.XLOOKUP(B893,[1]!Tabela1[[Cidades ]],[1]!Tabela1[Regional],0,0,1)</f>
        <v>Magno</v>
      </c>
      <c r="H893" s="13" t="str">
        <f>_xlfn.XLOOKUP(B893,[1]!Tabela1[[Cidades ]],[1]!Tabela1[Gerente],0,0,1)</f>
        <v>Demais coordenadores</v>
      </c>
    </row>
    <row r="894" spans="1:8" x14ac:dyDescent="0.3">
      <c r="A894" s="4" t="s">
        <v>1061</v>
      </c>
      <c r="B894" s="5" t="s">
        <v>31</v>
      </c>
      <c r="C894" s="6">
        <v>45837</v>
      </c>
      <c r="D894" s="7">
        <v>788656</v>
      </c>
      <c r="E894" s="5" t="str">
        <f>_xlfn.XLOOKUP(D894,[1]!Tabela24[Código consultor],[1]!Tabela24[Consultor Venda],0,0,1)</f>
        <v>PAR - STB - PAP - JOY TELECOM - GABRIELA ALVES DE GODOY</v>
      </c>
      <c r="F894" s="5" t="str">
        <f>_xlfn.XLOOKUP(D894,[1]!Tabela24[Código consultor],[1]!Tabela24[Canal Consultor],0,0,1)</f>
        <v>PAR_DIG</v>
      </c>
      <c r="G894" s="5" t="str">
        <f>_xlfn.XLOOKUP(B894,[1]!Tabela1[[Cidades ]],[1]!Tabela1[Regional],0,0,1)</f>
        <v>Maycon</v>
      </c>
      <c r="H894" s="8" t="str">
        <f>_xlfn.XLOOKUP(B894,[1]!Tabela1[[Cidades ]],[1]!Tabela1[Gerente],0,0,1)</f>
        <v>Demais coordenadores</v>
      </c>
    </row>
    <row r="895" spans="1:8" x14ac:dyDescent="0.3">
      <c r="A895" s="9" t="s">
        <v>1080</v>
      </c>
      <c r="B895" s="10" t="s">
        <v>66</v>
      </c>
      <c r="C895" s="11">
        <v>45837</v>
      </c>
      <c r="D895" s="12">
        <v>788656</v>
      </c>
      <c r="E895" s="5" t="str">
        <f>_xlfn.XLOOKUP(D895,[1]!Tabela24[Código consultor],[1]!Tabela24[Consultor Venda],0,0,1)</f>
        <v>PAR - STB - PAP - JOY TELECOM - GABRIELA ALVES DE GODOY</v>
      </c>
      <c r="F895" s="5" t="str">
        <f>_xlfn.XLOOKUP(D895,[1]!Tabela24[Código consultor],[1]!Tabela24[Canal Consultor],0,0,1)</f>
        <v>PAR_DIG</v>
      </c>
      <c r="G895" s="10" t="str">
        <f>_xlfn.XLOOKUP(B895,[1]!Tabela1[[Cidades ]],[1]!Tabela1[Regional],0,0,1)</f>
        <v>Marcio</v>
      </c>
      <c r="H895" s="13" t="str">
        <f>_xlfn.XLOOKUP(B895,[1]!Tabela1[[Cidades ]],[1]!Tabela1[Gerente],0,0,1)</f>
        <v>Demais coordenadores</v>
      </c>
    </row>
    <row r="896" spans="1:8" x14ac:dyDescent="0.3">
      <c r="A896" s="4" t="s">
        <v>1063</v>
      </c>
      <c r="B896" s="5" t="s">
        <v>12</v>
      </c>
      <c r="C896" s="6">
        <v>45837</v>
      </c>
      <c r="D896" s="7">
        <v>788656</v>
      </c>
      <c r="E896" s="5" t="str">
        <f>_xlfn.XLOOKUP(D896,[1]!Tabela24[Código consultor],[1]!Tabela24[Consultor Venda],0,0,1)</f>
        <v>PAR - STB - PAP - JOY TELECOM - GABRIELA ALVES DE GODOY</v>
      </c>
      <c r="F896" s="5" t="str">
        <f>_xlfn.XLOOKUP(D896,[1]!Tabela24[Código consultor],[1]!Tabela24[Canal Consultor],0,0,1)</f>
        <v>PAR_DIG</v>
      </c>
      <c r="G896" s="5" t="str">
        <f>_xlfn.XLOOKUP(B896,[1]!Tabela1[[Cidades ]],[1]!Tabela1[Regional],0,0,1)</f>
        <v>Jean</v>
      </c>
      <c r="H896" s="8" t="str">
        <f>_xlfn.XLOOKUP(B896,[1]!Tabela1[[Cidades ]],[1]!Tabela1[Gerente],0,0,1)</f>
        <v>Demais coordenadores</v>
      </c>
    </row>
    <row r="897" spans="1:8" x14ac:dyDescent="0.3">
      <c r="A897" s="9" t="s">
        <v>1081</v>
      </c>
      <c r="B897" s="10" t="s">
        <v>60</v>
      </c>
      <c r="C897" s="11">
        <v>45837</v>
      </c>
      <c r="D897" s="12">
        <v>788656</v>
      </c>
      <c r="E897" s="5" t="str">
        <f>_xlfn.XLOOKUP(D897,[1]!Tabela24[Código consultor],[1]!Tabela24[Consultor Venda],0,0,1)</f>
        <v>PAR - STB - PAP - JOY TELECOM - GABRIELA ALVES DE GODOY</v>
      </c>
      <c r="F897" s="5" t="str">
        <f>_xlfn.XLOOKUP(D897,[1]!Tabela24[Código consultor],[1]!Tabela24[Canal Consultor],0,0,1)</f>
        <v>PAR_DIG</v>
      </c>
      <c r="G897" s="10" t="str">
        <f>_xlfn.XLOOKUP(B897,[1]!Tabela1[[Cidades ]],[1]!Tabela1[Regional],0,0,1)</f>
        <v>Magno</v>
      </c>
      <c r="H897" s="13" t="str">
        <f>_xlfn.XLOOKUP(B897,[1]!Tabela1[[Cidades ]],[1]!Tabela1[Gerente],0,0,1)</f>
        <v>Demais coordenadores</v>
      </c>
    </row>
    <row r="898" spans="1:8" x14ac:dyDescent="0.3">
      <c r="A898" s="4" t="s">
        <v>1082</v>
      </c>
      <c r="B898" s="5" t="s">
        <v>19</v>
      </c>
      <c r="C898" s="6">
        <v>45837</v>
      </c>
      <c r="D898" s="7">
        <v>165769</v>
      </c>
      <c r="E898" s="5" t="str">
        <f>_xlfn.XLOOKUP(D898,[1]!Tabela24[Código consultor],[1]!Tabela24[Consultor Venda],0,0,1)</f>
        <v>PAR - PAP - GTI - THALIA SP - THALIA DA SILVA PEREIRA</v>
      </c>
      <c r="F898" s="5" t="str">
        <f>_xlfn.XLOOKUP(D898,[1]!Tabela24[Código consultor],[1]!Tabela24[Canal Consultor],0,0,1)</f>
        <v>PAR</v>
      </c>
      <c r="G898" s="5" t="str">
        <f>_xlfn.XLOOKUP(B898,[1]!Tabela1[[Cidades ]],[1]!Tabela1[Regional],0,0,1)</f>
        <v>Magno</v>
      </c>
      <c r="H898" s="8" t="str">
        <f>_xlfn.XLOOKUP(B898,[1]!Tabela1[[Cidades ]],[1]!Tabela1[Gerente],0,0,1)</f>
        <v>Demais coordenadores</v>
      </c>
    </row>
    <row r="899" spans="1:8" x14ac:dyDescent="0.3">
      <c r="A899" s="9" t="s">
        <v>1083</v>
      </c>
      <c r="B899" s="10" t="s">
        <v>88</v>
      </c>
      <c r="C899" s="11">
        <v>45837</v>
      </c>
      <c r="D899" s="12">
        <v>788656</v>
      </c>
      <c r="E899" s="5" t="str">
        <f>_xlfn.XLOOKUP(D899,[1]!Tabela24[Código consultor],[1]!Tabela24[Consultor Venda],0,0,1)</f>
        <v>PAR - STB - PAP - JOY TELECOM - GABRIELA ALVES DE GODOY</v>
      </c>
      <c r="F899" s="5" t="str">
        <f>_xlfn.XLOOKUP(D899,[1]!Tabela24[Código consultor],[1]!Tabela24[Canal Consultor],0,0,1)</f>
        <v>PAR_DIG</v>
      </c>
      <c r="G899" s="10" t="str">
        <f>_xlfn.XLOOKUP(B899,[1]!Tabela1[[Cidades ]],[1]!Tabela1[Regional],0,0,1)</f>
        <v>Marcio</v>
      </c>
      <c r="H899" s="13" t="str">
        <f>_xlfn.XLOOKUP(B899,[1]!Tabela1[[Cidades ]],[1]!Tabela1[Gerente],0,0,1)</f>
        <v>Demais coordenadores</v>
      </c>
    </row>
    <row r="900" spans="1:8" x14ac:dyDescent="0.3">
      <c r="A900" s="4" t="s">
        <v>1084</v>
      </c>
      <c r="B900" s="5" t="s">
        <v>19</v>
      </c>
      <c r="C900" s="6">
        <v>45837</v>
      </c>
      <c r="D900" s="7">
        <v>788656</v>
      </c>
      <c r="E900" s="5" t="str">
        <f>_xlfn.XLOOKUP(D900,[1]!Tabela24[Código consultor],[1]!Tabela24[Consultor Venda],0,0,1)</f>
        <v>PAR - STB - PAP - JOY TELECOM - GABRIELA ALVES DE GODOY</v>
      </c>
      <c r="F900" s="5" t="str">
        <f>_xlfn.XLOOKUP(D900,[1]!Tabela24[Código consultor],[1]!Tabela24[Canal Consultor],0,0,1)</f>
        <v>PAR_DIG</v>
      </c>
      <c r="G900" s="5" t="str">
        <f>_xlfn.XLOOKUP(B900,[1]!Tabela1[[Cidades ]],[1]!Tabela1[Regional],0,0,1)</f>
        <v>Magno</v>
      </c>
      <c r="H900" s="8" t="str">
        <f>_xlfn.XLOOKUP(B900,[1]!Tabela1[[Cidades ]],[1]!Tabela1[Gerente],0,0,1)</f>
        <v>Demais coordenadores</v>
      </c>
    </row>
    <row r="901" spans="1:8" x14ac:dyDescent="0.3">
      <c r="A901" s="9" t="s">
        <v>1085</v>
      </c>
      <c r="B901" s="10" t="s">
        <v>19</v>
      </c>
      <c r="C901" s="11">
        <v>45837</v>
      </c>
      <c r="D901" s="12">
        <v>725067</v>
      </c>
      <c r="E901" s="5" t="str">
        <f>_xlfn.XLOOKUP(D901,[1]!Tabela24[Código consultor],[1]!Tabela24[Consultor Venda],0,0,1)</f>
        <v>COM - CHN - MICHELY SANTOS DOS SANTOS</v>
      </c>
      <c r="F901" s="5" t="str">
        <f>_xlfn.XLOOKUP(D901,[1]!Tabela24[Código consultor],[1]!Tabela24[Canal Consultor],0,0,1)</f>
        <v>Pap</v>
      </c>
      <c r="G901" s="10" t="str">
        <f>_xlfn.XLOOKUP(B901,[1]!Tabela1[[Cidades ]],[1]!Tabela1[Regional],0,0,1)</f>
        <v>Magno</v>
      </c>
      <c r="H901" s="13" t="str">
        <f>_xlfn.XLOOKUP(B901,[1]!Tabela1[[Cidades ]],[1]!Tabela1[Gerente],0,0,1)</f>
        <v>Demais coordenadores</v>
      </c>
    </row>
    <row r="902" spans="1:8" x14ac:dyDescent="0.3">
      <c r="A902" s="4" t="s">
        <v>1086</v>
      </c>
      <c r="B902" s="5" t="s">
        <v>19</v>
      </c>
      <c r="C902" s="6">
        <v>45837</v>
      </c>
      <c r="D902" s="7">
        <v>165769</v>
      </c>
      <c r="E902" s="5" t="str">
        <f>_xlfn.XLOOKUP(D902,[1]!Tabela24[Código consultor],[1]!Tabela24[Consultor Venda],0,0,1)</f>
        <v>PAR - PAP - GTI - THALIA SP - THALIA DA SILVA PEREIRA</v>
      </c>
      <c r="F902" s="5" t="str">
        <f>_xlfn.XLOOKUP(D902,[1]!Tabela24[Código consultor],[1]!Tabela24[Canal Consultor],0,0,1)</f>
        <v>PAR</v>
      </c>
      <c r="G902" s="5" t="str">
        <f>_xlfn.XLOOKUP(B902,[1]!Tabela1[[Cidades ]],[1]!Tabela1[Regional],0,0,1)</f>
        <v>Magno</v>
      </c>
      <c r="H902" s="8" t="str">
        <f>_xlfn.XLOOKUP(B902,[1]!Tabela1[[Cidades ]],[1]!Tabela1[Gerente],0,0,1)</f>
        <v>Demais coordenadores</v>
      </c>
    </row>
    <row r="903" spans="1:8" x14ac:dyDescent="0.3">
      <c r="A903" s="9" t="s">
        <v>1087</v>
      </c>
      <c r="B903" s="10" t="s">
        <v>11</v>
      </c>
      <c r="C903" s="11">
        <v>45837</v>
      </c>
      <c r="D903" s="12">
        <v>725067</v>
      </c>
      <c r="E903" s="5" t="str">
        <f>_xlfn.XLOOKUP(D903,[1]!Tabela24[Código consultor],[1]!Tabela24[Consultor Venda],0,0,1)</f>
        <v>COM - CHN - MICHELY SANTOS DOS SANTOS</v>
      </c>
      <c r="F903" s="5" t="str">
        <f>_xlfn.XLOOKUP(D903,[1]!Tabela24[Código consultor],[1]!Tabela24[Canal Consultor],0,0,1)</f>
        <v>Pap</v>
      </c>
      <c r="G903" s="10" t="str">
        <f>_xlfn.XLOOKUP(B903,[1]!Tabela1[[Cidades ]],[1]!Tabela1[Regional],0,0,1)</f>
        <v>Magno</v>
      </c>
      <c r="H903" s="13" t="str">
        <f>_xlfn.XLOOKUP(B903,[1]!Tabela1[[Cidades ]],[1]!Tabela1[Gerente],0,0,1)</f>
        <v>Demais coordenadores</v>
      </c>
    </row>
    <row r="904" spans="1:8" x14ac:dyDescent="0.3">
      <c r="A904" s="4" t="s">
        <v>1088</v>
      </c>
      <c r="B904" s="5" t="s">
        <v>16</v>
      </c>
      <c r="C904" s="6">
        <v>45837</v>
      </c>
      <c r="D904" s="7">
        <v>560570</v>
      </c>
      <c r="E904" s="5" t="str">
        <f>_xlfn.XLOOKUP(D904,[1]!Tabela24[Código consultor],[1]!Tabela24[Consultor Venda],0,0,1)</f>
        <v>COM - CSL - ISMAEL LUIZ DA CRUZ</v>
      </c>
      <c r="F904" s="5" t="str">
        <f>_xlfn.XLOOKUP(D904,[1]!Tabela24[Código consultor],[1]!Tabela24[Canal Consultor],0,0,1)</f>
        <v>Pap</v>
      </c>
      <c r="G904" s="5" t="str">
        <f>_xlfn.XLOOKUP(B904,[1]!Tabela1[[Cidades ]],[1]!Tabela1[Regional],0,0,1)</f>
        <v>Magno</v>
      </c>
      <c r="H904" s="8" t="str">
        <f>_xlfn.XLOOKUP(B904,[1]!Tabela1[[Cidades ]],[1]!Tabela1[Gerente],0,0,1)</f>
        <v>Demais coordenadores</v>
      </c>
    </row>
    <row r="905" spans="1:8" x14ac:dyDescent="0.3">
      <c r="A905" s="9" t="s">
        <v>1089</v>
      </c>
      <c r="B905" s="10" t="s">
        <v>38</v>
      </c>
      <c r="C905" s="11">
        <v>45837</v>
      </c>
      <c r="D905" s="12">
        <v>559912</v>
      </c>
      <c r="E905" s="5" t="str">
        <f>_xlfn.XLOOKUP(D905,[1]!Tabela24[Código consultor],[1]!Tabela24[Consultor Venda],0,0,1)</f>
        <v>COM - TEB - DEVAIR DE JESUS TALEVI</v>
      </c>
      <c r="F905" s="5" t="str">
        <f>_xlfn.XLOOKUP(D905,[1]!Tabela24[Código consultor],[1]!Tabela24[Canal Consultor],0,0,1)</f>
        <v>Pap</v>
      </c>
      <c r="G905" s="10" t="str">
        <f>_xlfn.XLOOKUP(B905,[1]!Tabela1[[Cidades ]],[1]!Tabela1[Regional],0,0,1)</f>
        <v>Jean</v>
      </c>
      <c r="H905" s="13" t="str">
        <f>_xlfn.XLOOKUP(B905,[1]!Tabela1[[Cidades ]],[1]!Tabela1[Gerente],0,0,1)</f>
        <v>Demais coordenadores</v>
      </c>
    </row>
    <row r="906" spans="1:8" x14ac:dyDescent="0.3">
      <c r="A906" s="4" t="s">
        <v>1090</v>
      </c>
      <c r="B906" s="5" t="s">
        <v>19</v>
      </c>
      <c r="C906" s="6">
        <v>45837</v>
      </c>
      <c r="D906" s="7">
        <v>165769</v>
      </c>
      <c r="E906" s="5" t="str">
        <f>_xlfn.XLOOKUP(D906,[1]!Tabela24[Código consultor],[1]!Tabela24[Consultor Venda],0,0,1)</f>
        <v>PAR - PAP - GTI - THALIA SP - THALIA DA SILVA PEREIRA</v>
      </c>
      <c r="F906" s="5" t="str">
        <f>_xlfn.XLOOKUP(D906,[1]!Tabela24[Código consultor],[1]!Tabela24[Canal Consultor],0,0,1)</f>
        <v>PAR</v>
      </c>
      <c r="G906" s="5" t="str">
        <f>_xlfn.XLOOKUP(B906,[1]!Tabela1[[Cidades ]],[1]!Tabela1[Regional],0,0,1)</f>
        <v>Magno</v>
      </c>
      <c r="H906" s="8" t="str">
        <f>_xlfn.XLOOKUP(B906,[1]!Tabela1[[Cidades ]],[1]!Tabela1[Gerente],0,0,1)</f>
        <v>Demais coordenadores</v>
      </c>
    </row>
    <row r="907" spans="1:8" x14ac:dyDescent="0.3">
      <c r="A907" s="9" t="s">
        <v>1091</v>
      </c>
      <c r="B907" s="10" t="s">
        <v>19</v>
      </c>
      <c r="C907" s="11">
        <v>45837</v>
      </c>
      <c r="D907" s="12">
        <v>653931</v>
      </c>
      <c r="E907" s="5" t="str">
        <f>_xlfn.XLOOKUP(D907,[1]!Tabela24[Código consultor],[1]!Tabela24[Consultor Venda],0,0,1)</f>
        <v>COM - CHN - SANTIAGO DA SILVA RODRIGUES</v>
      </c>
      <c r="F907" s="5" t="str">
        <f>_xlfn.XLOOKUP(D907,[1]!Tabela24[Código consultor],[1]!Tabela24[Canal Consultor],0,0,1)</f>
        <v>Pap</v>
      </c>
      <c r="G907" s="10" t="str">
        <f>_xlfn.XLOOKUP(B907,[1]!Tabela1[[Cidades ]],[1]!Tabela1[Regional],0,0,1)</f>
        <v>Magno</v>
      </c>
      <c r="H907" s="13" t="str">
        <f>_xlfn.XLOOKUP(B907,[1]!Tabela1[[Cidades ]],[1]!Tabela1[Gerente],0,0,1)</f>
        <v>Demais coordenadores</v>
      </c>
    </row>
    <row r="908" spans="1:8" x14ac:dyDescent="0.3">
      <c r="A908" s="4" t="s">
        <v>1072</v>
      </c>
      <c r="B908" s="5" t="s">
        <v>53</v>
      </c>
      <c r="C908" s="6">
        <v>45837</v>
      </c>
      <c r="D908" s="7">
        <v>844068</v>
      </c>
      <c r="E908" s="5" t="str">
        <f>_xlfn.XLOOKUP(D908,[1]!Tabela24[Código consultor],[1]!Tabela24[Consultor Venda],0,0,1)</f>
        <v>COM - DOS - GABRIEL SPINDOLA RAMOS CORREA</v>
      </c>
      <c r="F908" s="5" t="str">
        <f>_xlfn.XLOOKUP(D908,[1]!Tabela24[Código consultor],[1]!Tabela24[Canal Consultor],0,0,1)</f>
        <v>Pap</v>
      </c>
      <c r="G908" s="5" t="str">
        <f>_xlfn.XLOOKUP(B908,[1]!Tabela1[[Cidades ]],[1]!Tabela1[Regional],0,0,1)</f>
        <v>Adilson</v>
      </c>
      <c r="H908" s="8" t="str">
        <f>_xlfn.XLOOKUP(B908,[1]!Tabela1[[Cidades ]],[1]!Tabela1[Gerente],0,0,1)</f>
        <v>Demais coordenadores</v>
      </c>
    </row>
    <row r="909" spans="1:8" x14ac:dyDescent="0.3">
      <c r="A909" s="9" t="s">
        <v>1092</v>
      </c>
      <c r="B909" s="10" t="s">
        <v>22</v>
      </c>
      <c r="C909" s="11">
        <v>45838</v>
      </c>
      <c r="D909" s="12">
        <v>880152</v>
      </c>
      <c r="E909" s="5" t="str">
        <f>_xlfn.XLOOKUP(D909,[1]!Tabela24[Código consultor],[1]!Tabela24[Consultor Venda],0,0,1)</f>
        <v>COM - CAN - JHULIANA FREITAS SCHMACHTENBERG</v>
      </c>
      <c r="F909" s="5" t="str">
        <f>_xlfn.XLOOKUP(D909,[1]!Tabela24[Código consultor],[1]!Tabela24[Canal Consultor],0,0,1)</f>
        <v>INTERNO</v>
      </c>
      <c r="G909" s="10" t="str">
        <f>_xlfn.XLOOKUP(B909,[1]!Tabela1[[Cidades ]],[1]!Tabela1[Regional],0,0,1)</f>
        <v>Magno</v>
      </c>
      <c r="H909" s="13" t="str">
        <f>_xlfn.XLOOKUP(B909,[1]!Tabela1[[Cidades ]],[1]!Tabela1[Gerente],0,0,1)</f>
        <v>Demais coordenadores</v>
      </c>
    </row>
    <row r="910" spans="1:8" x14ac:dyDescent="0.3">
      <c r="A910" s="4" t="s">
        <v>1093</v>
      </c>
      <c r="B910" s="5" t="s">
        <v>22</v>
      </c>
      <c r="C910" s="6">
        <v>45838</v>
      </c>
      <c r="D910" s="7">
        <v>729970</v>
      </c>
      <c r="E910" s="5" t="str">
        <f>_xlfn.XLOOKUP(D910,[1]!Tabela24[Código consultor],[1]!Tabela24[Consultor Venda],0,0,1)</f>
        <v>COM - UMR - VINICIUS HENRIQUE HUSS DA MOTA</v>
      </c>
      <c r="F910" s="5" t="str">
        <f>_xlfn.XLOOKUP(D910,[1]!Tabela24[Código consultor],[1]!Tabela24[Canal Consultor],0,0,1)</f>
        <v>INTERNO</v>
      </c>
      <c r="G910" s="5" t="str">
        <f>_xlfn.XLOOKUP(B910,[1]!Tabela1[[Cidades ]],[1]!Tabela1[Regional],0,0,1)</f>
        <v>Magno</v>
      </c>
      <c r="H910" s="8" t="str">
        <f>_xlfn.XLOOKUP(B910,[1]!Tabela1[[Cidades ]],[1]!Tabela1[Gerente],0,0,1)</f>
        <v>Demais coordenadores</v>
      </c>
    </row>
    <row r="911" spans="1:8" x14ac:dyDescent="0.3">
      <c r="A911" s="9" t="s">
        <v>1094</v>
      </c>
      <c r="B911" s="10" t="s">
        <v>11</v>
      </c>
      <c r="C911" s="11">
        <v>45838</v>
      </c>
      <c r="D911" s="12">
        <v>262147</v>
      </c>
      <c r="E911" s="5" t="str">
        <f>_xlfn.XLOOKUP(D911,[1]!Tabela24[Código consultor],[1]!Tabela24[Consultor Venda],0,0,1)</f>
        <v>COM - GTI - ALESANDRA PETRY BRAZEIRO</v>
      </c>
      <c r="F911" s="5" t="str">
        <f>_xlfn.XLOOKUP(D911,[1]!Tabela24[Código consultor],[1]!Tabela24[Canal Consultor],0,0,1)</f>
        <v>Pap</v>
      </c>
      <c r="G911" s="10" t="str">
        <f>_xlfn.XLOOKUP(B911,[1]!Tabela1[[Cidades ]],[1]!Tabela1[Regional],0,0,1)</f>
        <v>Magno</v>
      </c>
      <c r="H911" s="13" t="str">
        <f>_xlfn.XLOOKUP(B911,[1]!Tabela1[[Cidades ]],[1]!Tabela1[Gerente],0,0,1)</f>
        <v>Demais coordenadores</v>
      </c>
    </row>
    <row r="912" spans="1:8" x14ac:dyDescent="0.3">
      <c r="A912" s="4" t="s">
        <v>1095</v>
      </c>
      <c r="B912" s="5" t="s">
        <v>22</v>
      </c>
      <c r="C912" s="6">
        <v>45838</v>
      </c>
      <c r="D912" s="7">
        <v>716615</v>
      </c>
      <c r="E912" s="5" t="str">
        <f>_xlfn.XLOOKUP(D912,[1]!Tabela24[Código consultor],[1]!Tabela24[Consultor Venda],0,0,1)</f>
        <v>COM - SCR - MARCO ANTONIO NUNES DOS SANTOS</v>
      </c>
      <c r="F912" s="5" t="str">
        <f>_xlfn.XLOOKUP(D912,[1]!Tabela24[Código consultor],[1]!Tabela24[Canal Consultor],0,0,1)</f>
        <v>Pap</v>
      </c>
      <c r="G912" s="5" t="str">
        <f>_xlfn.XLOOKUP(B912,[1]!Tabela1[[Cidades ]],[1]!Tabela1[Regional],0,0,1)</f>
        <v>Magno</v>
      </c>
      <c r="H912" s="8" t="str">
        <f>_xlfn.XLOOKUP(B912,[1]!Tabela1[[Cidades ]],[1]!Tabela1[Gerente],0,0,1)</f>
        <v>Demais coordenadores</v>
      </c>
    </row>
    <row r="913" spans="1:8" x14ac:dyDescent="0.3">
      <c r="A913" s="9" t="s">
        <v>1096</v>
      </c>
      <c r="B913" s="10" t="s">
        <v>10</v>
      </c>
      <c r="C913" s="11">
        <v>45838</v>
      </c>
      <c r="D913" s="12">
        <v>233138</v>
      </c>
      <c r="E913" s="5" t="str">
        <f>_xlfn.XLOOKUP(D913,[1]!Tabela24[Código consultor],[1]!Tabela24[Consultor Venda],0,0,1)</f>
        <v>PAR - INTE - GRP - MOBILE HD - ALINE KARNOSKI</v>
      </c>
      <c r="F913" s="5" t="str">
        <f>_xlfn.XLOOKUP(D913,[1]!Tabela24[Código consultor],[1]!Tabela24[Canal Consultor],0,0,1)</f>
        <v>PAR</v>
      </c>
      <c r="G913" s="10" t="str">
        <f>_xlfn.XLOOKUP(B913,[1]!Tabela1[[Cidades ]],[1]!Tabela1[Regional],0,0,1)</f>
        <v>Jean</v>
      </c>
      <c r="H913" s="13" t="str">
        <f>_xlfn.XLOOKUP(B913,[1]!Tabela1[[Cidades ]],[1]!Tabela1[Gerente],0,0,1)</f>
        <v>Demais coordenadores</v>
      </c>
    </row>
    <row r="914" spans="1:8" x14ac:dyDescent="0.3">
      <c r="A914" s="4" t="s">
        <v>1097</v>
      </c>
      <c r="B914" s="5" t="s">
        <v>32</v>
      </c>
      <c r="C914" s="6">
        <v>45838</v>
      </c>
      <c r="D914" s="7">
        <v>885453</v>
      </c>
      <c r="E914" s="5" t="str">
        <f>_xlfn.XLOOKUP(D914,[1]!Tabela24[Código consultor],[1]!Tabela24[Consultor Venda],0,0,1)</f>
        <v>COM - IGA - EMILY PRISCILA BRAZ VIANA</v>
      </c>
      <c r="F914" s="5" t="str">
        <f>_xlfn.XLOOKUP(D914,[1]!Tabela24[Código consultor],[1]!Tabela24[Canal Consultor],0,0,1)</f>
        <v>Pap</v>
      </c>
      <c r="G914" s="5" t="str">
        <f>_xlfn.XLOOKUP(B914,[1]!Tabela1[[Cidades ]],[1]!Tabela1[Regional],0,0,1)</f>
        <v>Jean</v>
      </c>
      <c r="H914" s="8" t="str">
        <f>_xlfn.XLOOKUP(B914,[1]!Tabela1[[Cidades ]],[1]!Tabela1[Gerente],0,0,1)</f>
        <v>Demais coordenadores</v>
      </c>
    </row>
    <row r="915" spans="1:8" x14ac:dyDescent="0.3">
      <c r="A915" s="9" t="s">
        <v>1210</v>
      </c>
      <c r="B915" s="10" t="s">
        <v>59</v>
      </c>
      <c r="C915" s="11">
        <v>45838</v>
      </c>
      <c r="D915" s="12">
        <v>822704</v>
      </c>
      <c r="E915" s="5" t="str">
        <f>_xlfn.XLOOKUP(D915,[1]!Tabela24[Código consultor],[1]!Tabela24[Consultor Venda],0,0,1)</f>
        <v>PAR - PAP - V S MONTEIRO - VINICIUS SILVA MONTEIRO</v>
      </c>
      <c r="F915" s="5" t="str">
        <f>_xlfn.XLOOKUP(D915,[1]!Tabela24[Código consultor],[1]!Tabela24[Canal Consultor],0,0,1)</f>
        <v>PAR</v>
      </c>
      <c r="G915" s="10" t="str">
        <f>_xlfn.XLOOKUP(B915,[1]!Tabela1[[Cidades ]],[1]!Tabela1[Regional],0,0,1)</f>
        <v>Adilson</v>
      </c>
      <c r="H915" s="13" t="str">
        <f>_xlfn.XLOOKUP(B915,[1]!Tabela1[[Cidades ]],[1]!Tabela1[Gerente],0,0,1)</f>
        <v>Demais coordenadores</v>
      </c>
    </row>
    <row r="916" spans="1:8" x14ac:dyDescent="0.3">
      <c r="A916" s="4" t="s">
        <v>1098</v>
      </c>
      <c r="B916" s="5" t="s">
        <v>13</v>
      </c>
      <c r="C916" s="6">
        <v>45838</v>
      </c>
      <c r="D916" s="7">
        <v>883815</v>
      </c>
      <c r="E916" s="5" t="str">
        <f>_xlfn.XLOOKUP(D916,[1]!Tabela24[Código consultor],[1]!Tabela24[Consultor Venda],0,0,1)</f>
        <v>COM - PAS - HIAGO LANDIM TELES</v>
      </c>
      <c r="F916" s="5" t="str">
        <f>_xlfn.XLOOKUP(D916,[1]!Tabela24[Código consultor],[1]!Tabela24[Canal Consultor],0,0,1)</f>
        <v>INTERNO</v>
      </c>
      <c r="G916" s="5" t="str">
        <f>_xlfn.XLOOKUP(B916,[1]!Tabela1[[Cidades ]],[1]!Tabela1[Regional],0,0,1)</f>
        <v>Alisson</v>
      </c>
      <c r="H916" s="8" t="str">
        <f>_xlfn.XLOOKUP(B916,[1]!Tabela1[[Cidades ]],[1]!Tabela1[Gerente],0,0,1)</f>
        <v>Ariana</v>
      </c>
    </row>
    <row r="917" spans="1:8" x14ac:dyDescent="0.3">
      <c r="A917" s="9" t="s">
        <v>1100</v>
      </c>
      <c r="B917" s="10" t="s">
        <v>11</v>
      </c>
      <c r="C917" s="11">
        <v>45838</v>
      </c>
      <c r="D917" s="12">
        <v>780612</v>
      </c>
      <c r="E917" s="5" t="str">
        <f>_xlfn.XLOOKUP(D917,[1]!Tabela24[Código consultor],[1]!Tabela24[Consultor Venda],0,0,1)</f>
        <v>PAR - PAP - MUNDIALE - Luana Gabriela da Silva Moura</v>
      </c>
      <c r="F917" s="5" t="str">
        <f>_xlfn.XLOOKUP(D917,[1]!Tabela24[Código consultor],[1]!Tabela24[Canal Consultor],0,0,1)</f>
        <v>PAR_DIG</v>
      </c>
      <c r="G917" s="10" t="str">
        <f>_xlfn.XLOOKUP(B917,[1]!Tabela1[[Cidades ]],[1]!Tabela1[Regional],0,0,1)</f>
        <v>Magno</v>
      </c>
      <c r="H917" s="13" t="str">
        <f>_xlfn.XLOOKUP(B917,[1]!Tabela1[[Cidades ]],[1]!Tabela1[Gerente],0,0,1)</f>
        <v>Demais coordenadores</v>
      </c>
    </row>
    <row r="918" spans="1:8" x14ac:dyDescent="0.3">
      <c r="A918" s="4" t="s">
        <v>1101</v>
      </c>
      <c r="B918" s="5" t="s">
        <v>38</v>
      </c>
      <c r="C918" s="6">
        <v>45838</v>
      </c>
      <c r="D918" s="7">
        <v>843112</v>
      </c>
      <c r="E918" s="5" t="str">
        <f>_xlfn.XLOOKUP(D918,[1]!Tabela24[Código consultor],[1]!Tabela24[Consultor Venda],0,0,1)</f>
        <v>COM - TEB - SANDRO GIMONSKI DE SOUZA</v>
      </c>
      <c r="F918" s="5" t="str">
        <f>_xlfn.XLOOKUP(D918,[1]!Tabela24[Código consultor],[1]!Tabela24[Canal Consultor],0,0,1)</f>
        <v>Pap</v>
      </c>
      <c r="G918" s="5" t="str">
        <f>_xlfn.XLOOKUP(B918,[1]!Tabela1[[Cidades ]],[1]!Tabela1[Regional],0,0,1)</f>
        <v>Jean</v>
      </c>
      <c r="H918" s="8" t="str">
        <f>_xlfn.XLOOKUP(B918,[1]!Tabela1[[Cidades ]],[1]!Tabela1[Gerente],0,0,1)</f>
        <v>Demais coordenadores</v>
      </c>
    </row>
    <row r="919" spans="1:8" x14ac:dyDescent="0.3">
      <c r="A919" s="9" t="s">
        <v>1102</v>
      </c>
      <c r="B919" s="10" t="s">
        <v>50</v>
      </c>
      <c r="C919" s="11">
        <v>45838</v>
      </c>
      <c r="D919" s="12">
        <v>600710</v>
      </c>
      <c r="E919" s="5" t="str">
        <f>_xlfn.XLOOKUP(D919,[1]!Tabela24[Código consultor],[1]!Tabela24[Consultor Venda],0,0,1)</f>
        <v>DIG - CCO - BRUNA BALBINOTTI</v>
      </c>
      <c r="F919" s="5" t="str">
        <f>_xlfn.XLOOKUP(D919,[1]!Tabela24[Código consultor],[1]!Tabela24[Canal Consultor],0,0,1)</f>
        <v>DIGITAL</v>
      </c>
      <c r="G919" s="10" t="str">
        <f>_xlfn.XLOOKUP(B919,[1]!Tabela1[[Cidades ]],[1]!Tabela1[Regional],0,0,1)</f>
        <v>Marcio</v>
      </c>
      <c r="H919" s="13" t="str">
        <f>_xlfn.XLOOKUP(B919,[1]!Tabela1[[Cidades ]],[1]!Tabela1[Gerente],0,0,1)</f>
        <v>Demais coordenadores</v>
      </c>
    </row>
    <row r="920" spans="1:8" x14ac:dyDescent="0.3">
      <c r="A920" s="4" t="s">
        <v>1104</v>
      </c>
      <c r="B920" s="5" t="s">
        <v>52</v>
      </c>
      <c r="C920" s="6">
        <v>45838</v>
      </c>
      <c r="D920" s="7">
        <v>377654</v>
      </c>
      <c r="E920" s="5" t="str">
        <f>_xlfn.XLOOKUP(D920,[1]!Tabela24[Código consultor],[1]!Tabela24[Consultor Venda],0,0,1)</f>
        <v>BKO - CCO - JOSE HENRIQUE TOURINHO DE CARVALHO</v>
      </c>
      <c r="F920" s="5" t="str">
        <f>_xlfn.XLOOKUP(D920,[1]!Tabela24[Código consultor],[1]!Tabela24[Canal Consultor],0,0,1)</f>
        <v>ADM Interno</v>
      </c>
      <c r="G920" s="5" t="str">
        <f>_xlfn.XLOOKUP(B920,[1]!Tabela1[[Cidades ]],[1]!Tabela1[Regional],0,0,1)</f>
        <v>Maycon</v>
      </c>
      <c r="H920" s="8" t="str">
        <f>_xlfn.XLOOKUP(B920,[1]!Tabela1[[Cidades ]],[1]!Tabela1[Gerente],0,0,1)</f>
        <v>Demais coordenadores</v>
      </c>
    </row>
    <row r="921" spans="1:8" x14ac:dyDescent="0.3">
      <c r="A921" s="9" t="s">
        <v>1105</v>
      </c>
      <c r="B921" s="10" t="s">
        <v>11</v>
      </c>
      <c r="C921" s="11">
        <v>45838</v>
      </c>
      <c r="D921" s="12">
        <v>694166</v>
      </c>
      <c r="E921" s="5" t="str">
        <f>_xlfn.XLOOKUP(D921,[1]!Tabela24[Código consultor],[1]!Tabela24[Consultor Venda],0,0,1)</f>
        <v>DIG - CCO - CARINE CORREA SOARES</v>
      </c>
      <c r="F921" s="5" t="str">
        <f>_xlfn.XLOOKUP(D921,[1]!Tabela24[Código consultor],[1]!Tabela24[Canal Consultor],0,0,1)</f>
        <v>DIGITAL</v>
      </c>
      <c r="G921" s="10" t="str">
        <f>_xlfn.XLOOKUP(B921,[1]!Tabela1[[Cidades ]],[1]!Tabela1[Regional],0,0,1)</f>
        <v>Magno</v>
      </c>
      <c r="H921" s="13" t="str">
        <f>_xlfn.XLOOKUP(B921,[1]!Tabela1[[Cidades ]],[1]!Tabela1[Gerente],0,0,1)</f>
        <v>Demais coordenadores</v>
      </c>
    </row>
    <row r="922" spans="1:8" x14ac:dyDescent="0.3">
      <c r="A922" s="4" t="s">
        <v>1106</v>
      </c>
      <c r="B922" s="5" t="s">
        <v>76</v>
      </c>
      <c r="C922" s="6">
        <v>45838</v>
      </c>
      <c r="D922" s="7">
        <v>878787</v>
      </c>
      <c r="E922" s="5" t="str">
        <f>_xlfn.XLOOKUP(D922,[1]!Tabela24[Código consultor],[1]!Tabela24[Consultor Venda],0,0,1)</f>
        <v>COM - CIO - STEFANY WOLFART DOS SANTOS</v>
      </c>
      <c r="F922" s="5" t="str">
        <f>_xlfn.XLOOKUP(D922,[1]!Tabela24[Código consultor],[1]!Tabela24[Canal Consultor],0,0,1)</f>
        <v>Pap</v>
      </c>
      <c r="G922" s="5" t="str">
        <f>_xlfn.XLOOKUP(B922,[1]!Tabela1[[Cidades ]],[1]!Tabela1[Regional],0,0,1)</f>
        <v>Alisson</v>
      </c>
      <c r="H922" s="8" t="str">
        <f>_xlfn.XLOOKUP(B922,[1]!Tabela1[[Cidades ]],[1]!Tabela1[Gerente],0,0,1)</f>
        <v>Helena</v>
      </c>
    </row>
    <row r="923" spans="1:8" x14ac:dyDescent="0.3">
      <c r="A923" s="9" t="s">
        <v>1108</v>
      </c>
      <c r="B923" s="10" t="s">
        <v>12</v>
      </c>
      <c r="C923" s="11">
        <v>45838</v>
      </c>
      <c r="D923" s="12">
        <v>40828</v>
      </c>
      <c r="E923" s="5" t="str">
        <f>_xlfn.XLOOKUP(D923,[1]!Tabela24[Código consultor],[1]!Tabela24[Consultor Venda],0,0,1)</f>
        <v>COM - PGO - CRISTIANE APARECIDA CHIAMULERA</v>
      </c>
      <c r="F923" s="5" t="str">
        <f>_xlfn.XLOOKUP(D923,[1]!Tabela24[Código consultor],[1]!Tabela24[Canal Consultor],0,0,1)</f>
        <v>Pap</v>
      </c>
      <c r="G923" s="10" t="str">
        <f>_xlfn.XLOOKUP(B923,[1]!Tabela1[[Cidades ]],[1]!Tabela1[Regional],0,0,1)</f>
        <v>Jean</v>
      </c>
      <c r="H923" s="13" t="str">
        <f>_xlfn.XLOOKUP(B923,[1]!Tabela1[[Cidades ]],[1]!Tabela1[Gerente],0,0,1)</f>
        <v>Demais coordenadores</v>
      </c>
    </row>
    <row r="924" spans="1:8" x14ac:dyDescent="0.3">
      <c r="A924" s="4" t="s">
        <v>1109</v>
      </c>
      <c r="B924" s="5" t="s">
        <v>31</v>
      </c>
      <c r="C924" s="6">
        <v>45838</v>
      </c>
      <c r="D924" s="7">
        <v>683349</v>
      </c>
      <c r="E924" s="5" t="str">
        <f>_xlfn.XLOOKUP(D924,[1]!Tabela24[Código consultor],[1]!Tabela24[Consultor Venda],0,0,1)</f>
        <v>DIG - CCO - EVELLIN SALOA MAIA DA CONCEICAO</v>
      </c>
      <c r="F924" s="5" t="str">
        <f>_xlfn.XLOOKUP(D924,[1]!Tabela24[Código consultor],[1]!Tabela24[Canal Consultor],0,0,1)</f>
        <v>DIGITAL</v>
      </c>
      <c r="G924" s="5" t="str">
        <f>_xlfn.XLOOKUP(B924,[1]!Tabela1[[Cidades ]],[1]!Tabela1[Regional],0,0,1)</f>
        <v>Maycon</v>
      </c>
      <c r="H924" s="8" t="str">
        <f>_xlfn.XLOOKUP(B924,[1]!Tabela1[[Cidades ]],[1]!Tabela1[Gerente],0,0,1)</f>
        <v>Demais coordenadores</v>
      </c>
    </row>
    <row r="925" spans="1:8" x14ac:dyDescent="0.3">
      <c r="A925" s="9" t="s">
        <v>1110</v>
      </c>
      <c r="B925" s="10" t="s">
        <v>31</v>
      </c>
      <c r="C925" s="11">
        <v>45838</v>
      </c>
      <c r="D925" s="12">
        <v>827465</v>
      </c>
      <c r="E925" s="5" t="str">
        <f>_xlfn.XLOOKUP(D925,[1]!Tabela24[Código consultor],[1]!Tabela24[Consultor Venda],0,0,1)</f>
        <v>DIG - ATV - TAINARA RODRIGUES CORDEIRO</v>
      </c>
      <c r="F925" s="5" t="str">
        <f>_xlfn.XLOOKUP(D925,[1]!Tabela24[Código consultor],[1]!Tabela24[Canal Consultor],0,0,1)</f>
        <v>Televendas Ativo</v>
      </c>
      <c r="G925" s="10" t="str">
        <f>_xlfn.XLOOKUP(B925,[1]!Tabela1[[Cidades ]],[1]!Tabela1[Regional],0,0,1)</f>
        <v>Maycon</v>
      </c>
      <c r="H925" s="13" t="str">
        <f>_xlfn.XLOOKUP(B925,[1]!Tabela1[[Cidades ]],[1]!Tabela1[Gerente],0,0,1)</f>
        <v>Demais coordenadores</v>
      </c>
    </row>
    <row r="926" spans="1:8" x14ac:dyDescent="0.3">
      <c r="A926" s="4" t="s">
        <v>1111</v>
      </c>
      <c r="B926" s="5" t="s">
        <v>62</v>
      </c>
      <c r="C926" s="6">
        <v>45838</v>
      </c>
      <c r="D926" s="7">
        <v>794227</v>
      </c>
      <c r="E926" s="5" t="str">
        <f>_xlfn.XLOOKUP(D926,[1]!Tabela24[Código consultor],[1]!Tabela24[Consultor Venda],0,0,1)</f>
        <v>PAR - PAP - TECH PERFORMANCE - Dario de Oliveira</v>
      </c>
      <c r="F926" s="5" t="str">
        <f>_xlfn.XLOOKUP(D926,[1]!Tabela24[Código consultor],[1]!Tabela24[Canal Consultor],0,0,1)</f>
        <v>Par</v>
      </c>
      <c r="G926" s="5" t="str">
        <f>_xlfn.XLOOKUP(B926,[1]!Tabela1[[Cidades ]],[1]!Tabela1[Regional],0,0,1)</f>
        <v>Adilson</v>
      </c>
      <c r="H926" s="8" t="str">
        <f>_xlfn.XLOOKUP(B926,[1]!Tabela1[[Cidades ]],[1]!Tabela1[Gerente],0,0,1)</f>
        <v>Demais coordenadores</v>
      </c>
    </row>
    <row r="927" spans="1:8" x14ac:dyDescent="0.3">
      <c r="A927" s="9" t="s">
        <v>1112</v>
      </c>
      <c r="B927" s="10" t="s">
        <v>31</v>
      </c>
      <c r="C927" s="11">
        <v>45838</v>
      </c>
      <c r="D927" s="12">
        <v>235841</v>
      </c>
      <c r="E927" s="5" t="str">
        <f>_xlfn.XLOOKUP(D927,[1]!Tabela24[Código consultor],[1]!Tabela24[Consultor Venda],0,0,1)</f>
        <v>DIG - CCO - KAUANA BONI</v>
      </c>
      <c r="F927" s="5" t="str">
        <f>_xlfn.XLOOKUP(D927,[1]!Tabela24[Código consultor],[1]!Tabela24[Canal Consultor],0,0,1)</f>
        <v>DIGITAL</v>
      </c>
      <c r="G927" s="10" t="str">
        <f>_xlfn.XLOOKUP(B927,[1]!Tabela1[[Cidades ]],[1]!Tabela1[Regional],0,0,1)</f>
        <v>Maycon</v>
      </c>
      <c r="H927" s="13" t="str">
        <f>_xlfn.XLOOKUP(B927,[1]!Tabela1[[Cidades ]],[1]!Tabela1[Gerente],0,0,1)</f>
        <v>Demais coordenadores</v>
      </c>
    </row>
    <row r="928" spans="1:8" x14ac:dyDescent="0.3">
      <c r="A928" s="4" t="s">
        <v>1113</v>
      </c>
      <c r="B928" s="5" t="s">
        <v>22</v>
      </c>
      <c r="C928" s="6">
        <v>45838</v>
      </c>
      <c r="D928" s="7">
        <v>716615</v>
      </c>
      <c r="E928" s="5" t="str">
        <f>_xlfn.XLOOKUP(D928,[1]!Tabela24[Código consultor],[1]!Tabela24[Consultor Venda],0,0,1)</f>
        <v>COM - SCR - MARCO ANTONIO NUNES DOS SANTOS</v>
      </c>
      <c r="F928" s="5" t="str">
        <f>_xlfn.XLOOKUP(D928,[1]!Tabela24[Código consultor],[1]!Tabela24[Canal Consultor],0,0,1)</f>
        <v>Pap</v>
      </c>
      <c r="G928" s="5" t="str">
        <f>_xlfn.XLOOKUP(B928,[1]!Tabela1[[Cidades ]],[1]!Tabela1[Regional],0,0,1)</f>
        <v>Magno</v>
      </c>
      <c r="H928" s="8" t="str">
        <f>_xlfn.XLOOKUP(B928,[1]!Tabela1[[Cidades ]],[1]!Tabela1[Gerente],0,0,1)</f>
        <v>Demais coordenadores</v>
      </c>
    </row>
    <row r="929" spans="1:8" x14ac:dyDescent="0.3">
      <c r="A929" s="9" t="s">
        <v>1117</v>
      </c>
      <c r="B929" s="10" t="s">
        <v>19</v>
      </c>
      <c r="C929" s="11">
        <v>45838</v>
      </c>
      <c r="D929" s="12">
        <v>653931</v>
      </c>
      <c r="E929" s="5" t="str">
        <f>_xlfn.XLOOKUP(D929,[1]!Tabela24[Código consultor],[1]!Tabela24[Consultor Venda],0,0,1)</f>
        <v>COM - CHN - SANTIAGO DA SILVA RODRIGUES</v>
      </c>
      <c r="F929" s="5" t="str">
        <f>_xlfn.XLOOKUP(D929,[1]!Tabela24[Código consultor],[1]!Tabela24[Canal Consultor],0,0,1)</f>
        <v>Pap</v>
      </c>
      <c r="G929" s="10" t="str">
        <f>_xlfn.XLOOKUP(B929,[1]!Tabela1[[Cidades ]],[1]!Tabela1[Regional],0,0,1)</f>
        <v>Magno</v>
      </c>
      <c r="H929" s="13" t="str">
        <f>_xlfn.XLOOKUP(B929,[1]!Tabela1[[Cidades ]],[1]!Tabela1[Gerente],0,0,1)</f>
        <v>Demais coordenadores</v>
      </c>
    </row>
    <row r="930" spans="1:8" x14ac:dyDescent="0.3">
      <c r="A930" s="4" t="s">
        <v>1118</v>
      </c>
      <c r="B930" s="5" t="s">
        <v>25</v>
      </c>
      <c r="C930" s="6">
        <v>45838</v>
      </c>
      <c r="D930" s="7">
        <v>698940</v>
      </c>
      <c r="E930" s="5" t="str">
        <f>_xlfn.XLOOKUP(D930,[1]!Tabela24[Código consultor],[1]!Tabela24[Consultor Venda],0,0,1)</f>
        <v>COM - ADZ - ANDREIA MACHADO DE OLIVEIRA</v>
      </c>
      <c r="F930" s="5" t="str">
        <f>_xlfn.XLOOKUP(D930,[1]!Tabela24[Código consultor],[1]!Tabela24[Canal Consultor],0,0,1)</f>
        <v>INTERNO</v>
      </c>
      <c r="G930" s="5" t="str">
        <f>_xlfn.XLOOKUP(B930,[1]!Tabela1[[Cidades ]],[1]!Tabela1[Regional],0,0,1)</f>
        <v>Maycon</v>
      </c>
      <c r="H930" s="8" t="str">
        <f>_xlfn.XLOOKUP(B930,[1]!Tabela1[[Cidades ]],[1]!Tabela1[Gerente],0,0,1)</f>
        <v>Demais coordenadores</v>
      </c>
    </row>
    <row r="931" spans="1:8" x14ac:dyDescent="0.3">
      <c r="A931" s="9" t="s">
        <v>190</v>
      </c>
      <c r="B931" s="10" t="s">
        <v>10</v>
      </c>
      <c r="C931" s="11">
        <v>45838</v>
      </c>
      <c r="D931" s="12">
        <v>197832</v>
      </c>
      <c r="E931" s="5" t="str">
        <f>_xlfn.XLOOKUP(D931,[1]!Tabela24[Código consultor],[1]!Tabela24[Consultor Venda],0,0,1)</f>
        <v>DIG - CCO - RAIANE BERGAMIN</v>
      </c>
      <c r="F931" s="5" t="str">
        <f>_xlfn.XLOOKUP(D931,[1]!Tabela24[Código consultor],[1]!Tabela24[Canal Consultor],0,0,1)</f>
        <v>DIGITAL</v>
      </c>
      <c r="G931" s="10" t="str">
        <f>_xlfn.XLOOKUP(B931,[1]!Tabela1[[Cidades ]],[1]!Tabela1[Regional],0,0,1)</f>
        <v>Jean</v>
      </c>
      <c r="H931" s="13" t="str">
        <f>_xlfn.XLOOKUP(B931,[1]!Tabela1[[Cidades ]],[1]!Tabela1[Gerente],0,0,1)</f>
        <v>Demais coordenadores</v>
      </c>
    </row>
    <row r="932" spans="1:8" x14ac:dyDescent="0.3">
      <c r="A932" s="4" t="s">
        <v>1119</v>
      </c>
      <c r="B932" s="5" t="s">
        <v>35</v>
      </c>
      <c r="C932" s="6">
        <v>45838</v>
      </c>
      <c r="D932" s="7">
        <v>827465</v>
      </c>
      <c r="E932" s="5" t="str">
        <f>_xlfn.XLOOKUP(D932,[1]!Tabela24[Código consultor],[1]!Tabela24[Consultor Venda],0,0,1)</f>
        <v>DIG - ATV - TAINARA RODRIGUES CORDEIRO</v>
      </c>
      <c r="F932" s="5" t="str">
        <f>_xlfn.XLOOKUP(D932,[1]!Tabela24[Código consultor],[1]!Tabela24[Canal Consultor],0,0,1)</f>
        <v>Televendas Ativo</v>
      </c>
      <c r="G932" s="5" t="str">
        <f>_xlfn.XLOOKUP(B932,[1]!Tabela1[[Cidades ]],[1]!Tabela1[Regional],0,0,1)</f>
        <v>Magno</v>
      </c>
      <c r="H932" s="8" t="str">
        <f>_xlfn.XLOOKUP(B932,[1]!Tabela1[[Cidades ]],[1]!Tabela1[Gerente],0,0,1)</f>
        <v>Demais coordenadores</v>
      </c>
    </row>
    <row r="933" spans="1:8" x14ac:dyDescent="0.3">
      <c r="A933" s="9" t="s">
        <v>1121</v>
      </c>
      <c r="B933" s="10" t="s">
        <v>22</v>
      </c>
      <c r="C933" s="11">
        <v>45838</v>
      </c>
      <c r="D933" s="12">
        <v>600710</v>
      </c>
      <c r="E933" s="5" t="str">
        <f>_xlfn.XLOOKUP(D933,[1]!Tabela24[Código consultor],[1]!Tabela24[Consultor Venda],0,0,1)</f>
        <v>DIG - CCO - BRUNA BALBINOTTI</v>
      </c>
      <c r="F933" s="5" t="str">
        <f>_xlfn.XLOOKUP(D933,[1]!Tabela24[Código consultor],[1]!Tabela24[Canal Consultor],0,0,1)</f>
        <v>DIGITAL</v>
      </c>
      <c r="G933" s="10" t="str">
        <f>_xlfn.XLOOKUP(B933,[1]!Tabela1[[Cidades ]],[1]!Tabela1[Regional],0,0,1)</f>
        <v>Magno</v>
      </c>
      <c r="H933" s="13" t="str">
        <f>_xlfn.XLOOKUP(B933,[1]!Tabela1[[Cidades ]],[1]!Tabela1[Gerente],0,0,1)</f>
        <v>Demais coordenadores</v>
      </c>
    </row>
    <row r="934" spans="1:8" x14ac:dyDescent="0.3">
      <c r="A934" s="4" t="s">
        <v>1122</v>
      </c>
      <c r="B934" s="5" t="s">
        <v>98</v>
      </c>
      <c r="C934" s="6">
        <v>45838</v>
      </c>
      <c r="D934" s="7">
        <v>794227</v>
      </c>
      <c r="E934" s="5" t="str">
        <f>_xlfn.XLOOKUP(D934,[1]!Tabela24[Código consultor],[1]!Tabela24[Consultor Venda],0,0,1)</f>
        <v>PAR - PAP - TECH PERFORMANCE - Dario de Oliveira</v>
      </c>
      <c r="F934" s="5" t="str">
        <f>_xlfn.XLOOKUP(D934,[1]!Tabela24[Código consultor],[1]!Tabela24[Canal Consultor],0,0,1)</f>
        <v>Par</v>
      </c>
      <c r="G934" s="5" t="str">
        <f>_xlfn.XLOOKUP(B934,[1]!Tabela1[[Cidades ]],[1]!Tabela1[Regional],0,0,1)</f>
        <v>Jean</v>
      </c>
      <c r="H934" s="8" t="str">
        <f>_xlfn.XLOOKUP(B934,[1]!Tabela1[[Cidades ]],[1]!Tabela1[Gerente],0,0,1)</f>
        <v>Demais coordenadores</v>
      </c>
    </row>
    <row r="935" spans="1:8" x14ac:dyDescent="0.3">
      <c r="A935" s="9" t="s">
        <v>156</v>
      </c>
      <c r="B935" s="10" t="s">
        <v>19</v>
      </c>
      <c r="C935" s="11">
        <v>45838</v>
      </c>
      <c r="D935" s="12">
        <v>878848</v>
      </c>
      <c r="E935" s="5" t="str">
        <f>_xlfn.XLOOKUP(D935,[1]!Tabela24[Código consultor],[1]!Tabela24[Consultor Venda],0,0,1)</f>
        <v>COM - CHN - MATHEUS ALFREDO MACEDO</v>
      </c>
      <c r="F935" s="5" t="str">
        <f>_xlfn.XLOOKUP(D935,[1]!Tabela24[Código consultor],[1]!Tabela24[Canal Consultor],0,0,1)</f>
        <v>Pap</v>
      </c>
      <c r="G935" s="10" t="str">
        <f>_xlfn.XLOOKUP(B935,[1]!Tabela1[[Cidades ]],[1]!Tabela1[Regional],0,0,1)</f>
        <v>Magno</v>
      </c>
      <c r="H935" s="13" t="str">
        <f>_xlfn.XLOOKUP(B935,[1]!Tabela1[[Cidades ]],[1]!Tabela1[Gerente],0,0,1)</f>
        <v>Demais coordenadores</v>
      </c>
    </row>
    <row r="936" spans="1:8" x14ac:dyDescent="0.3">
      <c r="A936" s="4" t="s">
        <v>172</v>
      </c>
      <c r="B936" s="5" t="s">
        <v>42</v>
      </c>
      <c r="C936" s="6">
        <v>45838</v>
      </c>
      <c r="D936" s="7">
        <v>738880</v>
      </c>
      <c r="E936" s="5" t="str">
        <f>_xlfn.XLOOKUP(D936,[1]!Tabela24[Código consultor],[1]!Tabela24[Consultor Venda],0,0,1)</f>
        <v>PAR - PAP - MUNDIALE - ANA LUIZA COUTO MATIAS</v>
      </c>
      <c r="F936" s="5" t="str">
        <f>_xlfn.XLOOKUP(D936,[1]!Tabela24[Código consultor],[1]!Tabela24[Canal Consultor],0,0,1)</f>
        <v>PAR_DIG</v>
      </c>
      <c r="G936" s="5" t="str">
        <f>_xlfn.XLOOKUP(B936,[1]!Tabela1[[Cidades ]],[1]!Tabela1[Regional],0,0,1)</f>
        <v>Maycon</v>
      </c>
      <c r="H936" s="8" t="str">
        <f>_xlfn.XLOOKUP(B936,[1]!Tabela1[[Cidades ]],[1]!Tabela1[Gerente],0,0,1)</f>
        <v>Demais coordenadores</v>
      </c>
    </row>
    <row r="937" spans="1:8" x14ac:dyDescent="0.3">
      <c r="A937" s="9" t="s">
        <v>1124</v>
      </c>
      <c r="B937" s="10" t="s">
        <v>23</v>
      </c>
      <c r="C937" s="11">
        <v>45838</v>
      </c>
      <c r="D937" s="12">
        <v>827465</v>
      </c>
      <c r="E937" s="5" t="str">
        <f>_xlfn.XLOOKUP(D937,[1]!Tabela24[Código consultor],[1]!Tabela24[Consultor Venda],0,0,1)</f>
        <v>DIG - ATV - TAINARA RODRIGUES CORDEIRO</v>
      </c>
      <c r="F937" s="5" t="str">
        <f>_xlfn.XLOOKUP(D937,[1]!Tabela24[Código consultor],[1]!Tabela24[Canal Consultor],0,0,1)</f>
        <v>Televendas Ativo</v>
      </c>
      <c r="G937" s="10" t="str">
        <f>_xlfn.XLOOKUP(B937,[1]!Tabela1[[Cidades ]],[1]!Tabela1[Regional],0,0,1)</f>
        <v>Magno</v>
      </c>
      <c r="H937" s="13" t="str">
        <f>_xlfn.XLOOKUP(B937,[1]!Tabela1[[Cidades ]],[1]!Tabela1[Gerente],0,0,1)</f>
        <v>Demais coordenadores</v>
      </c>
    </row>
    <row r="938" spans="1:8" x14ac:dyDescent="0.3">
      <c r="A938" s="4" t="s">
        <v>1125</v>
      </c>
      <c r="B938" s="5" t="s">
        <v>24</v>
      </c>
      <c r="C938" s="6">
        <v>45838</v>
      </c>
      <c r="D938" s="7">
        <v>682336</v>
      </c>
      <c r="E938" s="5" t="str">
        <f>_xlfn.XLOOKUP(D938,[1]!Tabela24[Código consultor],[1]!Tabela24[Consultor Venda],0,0,1)</f>
        <v>PAR - SMA - TEC - MEGA WALL - JOCEMAR A. DO SANTOS</v>
      </c>
      <c r="F938" s="5" t="str">
        <f>_xlfn.XLOOKUP(D938,[1]!Tabela24[Código consultor],[1]!Tabela24[Canal Consultor],0,0,1)</f>
        <v>PAR</v>
      </c>
      <c r="G938" s="5" t="str">
        <f>_xlfn.XLOOKUP(B938,[1]!Tabela1[[Cidades ]],[1]!Tabela1[Regional],0,0,1)</f>
        <v>Magno</v>
      </c>
      <c r="H938" s="8" t="str">
        <f>_xlfn.XLOOKUP(B938,[1]!Tabela1[[Cidades ]],[1]!Tabela1[Gerente],0,0,1)</f>
        <v>Demais coordenadores</v>
      </c>
    </row>
    <row r="939" spans="1:8" x14ac:dyDescent="0.3">
      <c r="A939" s="9" t="s">
        <v>150</v>
      </c>
      <c r="B939" s="10" t="s">
        <v>11</v>
      </c>
      <c r="C939" s="11">
        <v>45838</v>
      </c>
      <c r="D939" s="12">
        <v>787456</v>
      </c>
      <c r="E939" s="5" t="str">
        <f>_xlfn.XLOOKUP(D939,[1]!Tabela24[Código consultor],[1]!Tabela24[Consultor Venda],0,0,1)</f>
        <v>COM - CHN - Eduarda Schmoller da Silva</v>
      </c>
      <c r="F939" s="5" t="str">
        <f>_xlfn.XLOOKUP(D939,[1]!Tabela24[Código consultor],[1]!Tabela24[Canal Consultor],0,0,1)</f>
        <v>INTERNO</v>
      </c>
      <c r="G939" s="10" t="str">
        <f>_xlfn.XLOOKUP(B939,[1]!Tabela1[[Cidades ]],[1]!Tabela1[Regional],0,0,1)</f>
        <v>Magno</v>
      </c>
      <c r="H939" s="13" t="str">
        <f>_xlfn.XLOOKUP(B939,[1]!Tabela1[[Cidades ]],[1]!Tabela1[Gerente],0,0,1)</f>
        <v>Demais coordenadores</v>
      </c>
    </row>
    <row r="940" spans="1:8" x14ac:dyDescent="0.3">
      <c r="A940" s="4" t="s">
        <v>242</v>
      </c>
      <c r="B940" s="5" t="s">
        <v>27</v>
      </c>
      <c r="C940" s="6">
        <v>45838</v>
      </c>
      <c r="D940" s="7">
        <v>777905</v>
      </c>
      <c r="E940" s="5" t="str">
        <f>_xlfn.XLOOKUP(D940,[1]!Tabela24[Código consultor],[1]!Tabela24[Consultor Venda],0,0,1)</f>
        <v>COM - VAA - BIANCA MUNERETTO RODRIGUES</v>
      </c>
      <c r="F940" s="5" t="str">
        <f>_xlfn.XLOOKUP(D940,[1]!Tabela24[Código consultor],[1]!Tabela24[Canal Consultor],0,0,1)</f>
        <v>Pap</v>
      </c>
      <c r="G940" s="5" t="str">
        <f>_xlfn.XLOOKUP(B940,[1]!Tabela1[[Cidades ]],[1]!Tabela1[Regional],0,0,1)</f>
        <v>Alisson</v>
      </c>
      <c r="H940" s="8" t="str">
        <f>_xlfn.XLOOKUP(B940,[1]!Tabela1[[Cidades ]],[1]!Tabela1[Gerente],0,0,1)</f>
        <v>Tatiane</v>
      </c>
    </row>
    <row r="941" spans="1:8" x14ac:dyDescent="0.3">
      <c r="A941" s="9" t="s">
        <v>245</v>
      </c>
      <c r="B941" s="10" t="s">
        <v>46</v>
      </c>
      <c r="C941" s="11">
        <v>45838</v>
      </c>
      <c r="D941" s="12">
        <v>882331</v>
      </c>
      <c r="E941" s="5" t="str">
        <f>_xlfn.XLOOKUP(D941,[1]!Tabela24[Código consultor],[1]!Tabela24[Consultor Venda],0,0,1)</f>
        <v>DIG - CCO - SABRINA LUIZA BANDEIRA</v>
      </c>
      <c r="F941" s="5" t="str">
        <f>_xlfn.XLOOKUP(D941,[1]!Tabela24[Código consultor],[1]!Tabela24[Canal Consultor],0,0,1)</f>
        <v>DIGITAL</v>
      </c>
      <c r="G941" s="10" t="str">
        <f>_xlfn.XLOOKUP(B941,[1]!Tabela1[[Cidades ]],[1]!Tabela1[Regional],0,0,1)</f>
        <v>Magno</v>
      </c>
      <c r="H941" s="13" t="str">
        <f>_xlfn.XLOOKUP(B941,[1]!Tabela1[[Cidades ]],[1]!Tabela1[Gerente],0,0,1)</f>
        <v>Demais coordenadores</v>
      </c>
    </row>
    <row r="942" spans="1:8" x14ac:dyDescent="0.3">
      <c r="A942" s="4" t="s">
        <v>274</v>
      </c>
      <c r="B942" s="5" t="s">
        <v>51</v>
      </c>
      <c r="C942" s="6">
        <v>45838</v>
      </c>
      <c r="D942" s="7">
        <v>825133</v>
      </c>
      <c r="E942" s="5" t="str">
        <f>_xlfn.XLOOKUP(D942,[1]!Tabela24[Código consultor],[1]!Tabela24[Consultor Venda],0,0,1)</f>
        <v>COM - PAS - PAOLA PERREIRA OLIVEIRA</v>
      </c>
      <c r="F942" s="5" t="str">
        <f>_xlfn.XLOOKUP(D942,[1]!Tabela24[Código consultor],[1]!Tabela24[Canal Consultor],0,0,1)</f>
        <v>Pap</v>
      </c>
      <c r="G942" s="5" t="str">
        <f>_xlfn.XLOOKUP(B942,[1]!Tabela1[[Cidades ]],[1]!Tabela1[Regional],0,0,1)</f>
        <v>Alisson</v>
      </c>
      <c r="H942" s="8" t="str">
        <f>_xlfn.XLOOKUP(B942,[1]!Tabela1[[Cidades ]],[1]!Tabela1[Gerente],0,0,1)</f>
        <v>Ariana</v>
      </c>
    </row>
    <row r="943" spans="1:8" x14ac:dyDescent="0.3">
      <c r="A943" s="9" t="s">
        <v>1132</v>
      </c>
      <c r="B943" s="10" t="s">
        <v>38</v>
      </c>
      <c r="C943" s="11">
        <v>45838</v>
      </c>
      <c r="D943" s="12">
        <v>619784</v>
      </c>
      <c r="E943" s="5" t="str">
        <f>_xlfn.XLOOKUP(D943,[1]!Tabela24[Código consultor],[1]!Tabela24[Consultor Venda],0,0,1)</f>
        <v>COM - TEB - SUELEN DE FATIMA DO AMARAL</v>
      </c>
      <c r="F943" s="5" t="str">
        <f>_xlfn.XLOOKUP(D943,[1]!Tabela24[Código consultor],[1]!Tabela24[Canal Consultor],0,0,1)</f>
        <v>INTERNO</v>
      </c>
      <c r="G943" s="10" t="str">
        <f>_xlfn.XLOOKUP(B943,[1]!Tabela1[[Cidades ]],[1]!Tabela1[Regional],0,0,1)</f>
        <v>Jean</v>
      </c>
      <c r="H943" s="13" t="str">
        <f>_xlfn.XLOOKUP(B943,[1]!Tabela1[[Cidades ]],[1]!Tabela1[Gerente],0,0,1)</f>
        <v>Demais coordenadores</v>
      </c>
    </row>
    <row r="944" spans="1:8" x14ac:dyDescent="0.3">
      <c r="A944" s="4" t="s">
        <v>1134</v>
      </c>
      <c r="B944" s="5" t="s">
        <v>25</v>
      </c>
      <c r="C944" s="6">
        <v>45838</v>
      </c>
      <c r="D944" s="7">
        <v>290021</v>
      </c>
      <c r="E944" s="5" t="str">
        <f>_xlfn.XLOOKUP(D944,[1]!Tabela24[Código consultor],[1]!Tabela24[Consultor Venda],0,0,1)</f>
        <v>PAR - COM - CLD - ASTEC INFORMATICA - RAFAEL V DE ABREU</v>
      </c>
      <c r="F944" s="5" t="str">
        <f>_xlfn.XLOOKUP(D944,[1]!Tabela24[Código consultor],[1]!Tabela24[Canal Consultor],0,0,1)</f>
        <v>PAR</v>
      </c>
      <c r="G944" s="5" t="str">
        <f>_xlfn.XLOOKUP(B944,[1]!Tabela1[[Cidades ]],[1]!Tabela1[Regional],0,0,1)</f>
        <v>Maycon</v>
      </c>
      <c r="H944" s="8" t="str">
        <f>_xlfn.XLOOKUP(B944,[1]!Tabela1[[Cidades ]],[1]!Tabela1[Gerente],0,0,1)</f>
        <v>Demais coordenadores</v>
      </c>
    </row>
    <row r="945" spans="1:8" x14ac:dyDescent="0.3">
      <c r="A945" s="9" t="s">
        <v>952</v>
      </c>
      <c r="B945" s="10" t="s">
        <v>75</v>
      </c>
      <c r="C945" s="11">
        <v>45838</v>
      </c>
      <c r="D945" s="12">
        <v>878249</v>
      </c>
      <c r="E945" s="5" t="str">
        <f>_xlfn.XLOOKUP(D945,[1]!Tabela24[Código consultor],[1]!Tabela24[Consultor Venda],0,0,1)</f>
        <v>COM - LJO - ELTON RODRIGO DA SILVA GONCALVES</v>
      </c>
      <c r="F945" s="5" t="str">
        <f>_xlfn.XLOOKUP(D945,[1]!Tabela24[Código consultor],[1]!Tabela24[Canal Consultor],0,0,1)</f>
        <v>Pap</v>
      </c>
      <c r="G945" s="10" t="str">
        <f>_xlfn.XLOOKUP(B945,[1]!Tabela1[[Cidades ]],[1]!Tabela1[Regional],0,0,1)</f>
        <v>Magno</v>
      </c>
      <c r="H945" s="13" t="str">
        <f>_xlfn.XLOOKUP(B945,[1]!Tabela1[[Cidades ]],[1]!Tabela1[Gerente],0,0,1)</f>
        <v>Demais coordenadores</v>
      </c>
    </row>
    <row r="946" spans="1:8" x14ac:dyDescent="0.3">
      <c r="A946" s="4" t="s">
        <v>1136</v>
      </c>
      <c r="B946" s="5" t="s">
        <v>76</v>
      </c>
      <c r="C946" s="6">
        <v>45838</v>
      </c>
      <c r="D946" s="7">
        <v>165769</v>
      </c>
      <c r="E946" s="5" t="str">
        <f>_xlfn.XLOOKUP(D946,[1]!Tabela24[Código consultor],[1]!Tabela24[Consultor Venda],0,0,1)</f>
        <v>PAR - PAP - GTI - THALIA SP - THALIA DA SILVA PEREIRA</v>
      </c>
      <c r="F946" s="5" t="str">
        <f>_xlfn.XLOOKUP(D946,[1]!Tabela24[Código consultor],[1]!Tabela24[Canal Consultor],0,0,1)</f>
        <v>PAR</v>
      </c>
      <c r="G946" s="5" t="str">
        <f>_xlfn.XLOOKUP(B946,[1]!Tabela1[[Cidades ]],[1]!Tabela1[Regional],0,0,1)</f>
        <v>Alisson</v>
      </c>
      <c r="H946" s="8" t="str">
        <f>_xlfn.XLOOKUP(B946,[1]!Tabela1[[Cidades ]],[1]!Tabela1[Gerente],0,0,1)</f>
        <v>Helena</v>
      </c>
    </row>
    <row r="947" spans="1:8" x14ac:dyDescent="0.3">
      <c r="A947" s="9" t="s">
        <v>1137</v>
      </c>
      <c r="B947" s="10" t="s">
        <v>45</v>
      </c>
      <c r="C947" s="11">
        <v>45838</v>
      </c>
      <c r="D947" s="12">
        <v>525458</v>
      </c>
      <c r="E947" s="5" t="str">
        <f>_xlfn.XLOOKUP(D947,[1]!Tabela24[Código consultor],[1]!Tabela24[Consultor Venda],0,0,1)</f>
        <v>PAR - ADM - GRP - FIGUEREDO MOBILE  - JOSELIO O. P. JUNIOR</v>
      </c>
      <c r="F947" s="5" t="str">
        <f>_xlfn.XLOOKUP(D947,[1]!Tabela24[Código consultor],[1]!Tabela24[Canal Consultor],0,0,1)</f>
        <v>PAR</v>
      </c>
      <c r="G947" s="10" t="str">
        <f>_xlfn.XLOOKUP(B947,[1]!Tabela1[[Cidades ]],[1]!Tabela1[Regional],0,0,1)</f>
        <v>Jean</v>
      </c>
      <c r="H947" s="13" t="str">
        <f>_xlfn.XLOOKUP(B947,[1]!Tabela1[[Cidades ]],[1]!Tabela1[Gerente],0,0,1)</f>
        <v>Demais coordenadores</v>
      </c>
    </row>
    <row r="948" spans="1:8" x14ac:dyDescent="0.3">
      <c r="A948" s="4" t="s">
        <v>1138</v>
      </c>
      <c r="B948" s="5" t="s">
        <v>39</v>
      </c>
      <c r="C948" s="6">
        <v>45838</v>
      </c>
      <c r="D948" s="7">
        <v>729970</v>
      </c>
      <c r="E948" s="5" t="str">
        <f>_xlfn.XLOOKUP(D948,[1]!Tabela24[Código consultor],[1]!Tabela24[Consultor Venda],0,0,1)</f>
        <v>COM - UMR - VINICIUS HENRIQUE HUSS DA MOTA</v>
      </c>
      <c r="F948" s="5" t="str">
        <f>_xlfn.XLOOKUP(D948,[1]!Tabela24[Código consultor],[1]!Tabela24[Canal Consultor],0,0,1)</f>
        <v>INTERNO</v>
      </c>
      <c r="G948" s="5" t="str">
        <f>_xlfn.XLOOKUP(B948,[1]!Tabela1[[Cidades ]],[1]!Tabela1[Regional],0,0,1)</f>
        <v>Marcio</v>
      </c>
      <c r="H948" s="8" t="str">
        <f>_xlfn.XLOOKUP(B948,[1]!Tabela1[[Cidades ]],[1]!Tabela1[Gerente],0,0,1)</f>
        <v>Demais coordenadores</v>
      </c>
    </row>
    <row r="949" spans="1:8" x14ac:dyDescent="0.3">
      <c r="A949" s="9" t="s">
        <v>1139</v>
      </c>
      <c r="B949" s="10" t="s">
        <v>46</v>
      </c>
      <c r="C949" s="11">
        <v>45838</v>
      </c>
      <c r="D949" s="12">
        <v>864113</v>
      </c>
      <c r="E949" s="5" t="str">
        <f>_xlfn.XLOOKUP(D949,[1]!Tabela24[Código consultor],[1]!Tabela24[Consultor Venda],0,0,1)</f>
        <v>COM - BGV - ELISA LUDIMILA MORAES DE LIMA</v>
      </c>
      <c r="F949" s="5" t="str">
        <f>_xlfn.XLOOKUP(D949,[1]!Tabela24[Código consultor],[1]!Tabela24[Canal Consultor],0,0,1)</f>
        <v>INTERNO</v>
      </c>
      <c r="G949" s="10" t="str">
        <f>_xlfn.XLOOKUP(B949,[1]!Tabela1[[Cidades ]],[1]!Tabela1[Regional],0,0,1)</f>
        <v>Magno</v>
      </c>
      <c r="H949" s="13" t="str">
        <f>_xlfn.XLOOKUP(B949,[1]!Tabela1[[Cidades ]],[1]!Tabela1[Gerente],0,0,1)</f>
        <v>Demais coordenadores</v>
      </c>
    </row>
    <row r="950" spans="1:8" x14ac:dyDescent="0.3">
      <c r="A950" s="4" t="s">
        <v>1141</v>
      </c>
      <c r="B950" s="5" t="s">
        <v>27</v>
      </c>
      <c r="C950" s="6">
        <v>45838</v>
      </c>
      <c r="D950" s="7">
        <v>235841</v>
      </c>
      <c r="E950" s="5" t="str">
        <f>_xlfn.XLOOKUP(D950,[1]!Tabela24[Código consultor],[1]!Tabela24[Consultor Venda],0,0,1)</f>
        <v>DIG - CCO - KAUANA BONI</v>
      </c>
      <c r="F950" s="5" t="str">
        <f>_xlfn.XLOOKUP(D950,[1]!Tabela24[Código consultor],[1]!Tabela24[Canal Consultor],0,0,1)</f>
        <v>DIGITAL</v>
      </c>
      <c r="G950" s="5" t="str">
        <f>_xlfn.XLOOKUP(B950,[1]!Tabela1[[Cidades ]],[1]!Tabela1[Regional],0,0,1)</f>
        <v>Alisson</v>
      </c>
      <c r="H950" s="8" t="str">
        <f>_xlfn.XLOOKUP(B950,[1]!Tabela1[[Cidades ]],[1]!Tabela1[Gerente],0,0,1)</f>
        <v>Tatiane</v>
      </c>
    </row>
    <row r="951" spans="1:8" x14ac:dyDescent="0.3">
      <c r="A951" s="9" t="s">
        <v>1142</v>
      </c>
      <c r="B951" s="10" t="s">
        <v>23</v>
      </c>
      <c r="C951" s="11">
        <v>45838</v>
      </c>
      <c r="D951" s="12">
        <v>827985</v>
      </c>
      <c r="E951" s="5" t="str">
        <f>_xlfn.XLOOKUP(D951,[1]!Tabela24[Código consultor],[1]!Tabela24[Consultor Venda],0,0,1)</f>
        <v>COM - GTI - KELLEN SANTOS IOHANN</v>
      </c>
      <c r="F951" s="5" t="str">
        <f>_xlfn.XLOOKUP(D951,[1]!Tabela24[Código consultor],[1]!Tabela24[Canal Consultor],0,0,1)</f>
        <v>Pap</v>
      </c>
      <c r="G951" s="10" t="str">
        <f>_xlfn.XLOOKUP(B951,[1]!Tabela1[[Cidades ]],[1]!Tabela1[Regional],0,0,1)</f>
        <v>Magno</v>
      </c>
      <c r="H951" s="13" t="str">
        <f>_xlfn.XLOOKUP(B951,[1]!Tabela1[[Cidades ]],[1]!Tabela1[Gerente],0,0,1)</f>
        <v>Demais coordenadores</v>
      </c>
    </row>
    <row r="952" spans="1:8" x14ac:dyDescent="0.3">
      <c r="A952" s="4" t="s">
        <v>1144</v>
      </c>
      <c r="B952" s="5" t="s">
        <v>19</v>
      </c>
      <c r="C952" s="6">
        <v>45838</v>
      </c>
      <c r="D952" s="7">
        <v>233138</v>
      </c>
      <c r="E952" s="5" t="str">
        <f>_xlfn.XLOOKUP(D952,[1]!Tabela24[Código consultor],[1]!Tabela24[Consultor Venda],0,0,1)</f>
        <v>PAR - INTE - GRP - MOBILE HD - ALINE KARNOSKI</v>
      </c>
      <c r="F952" s="5" t="str">
        <f>_xlfn.XLOOKUP(D952,[1]!Tabela24[Código consultor],[1]!Tabela24[Canal Consultor],0,0,1)</f>
        <v>PAR</v>
      </c>
      <c r="G952" s="5" t="str">
        <f>_xlfn.XLOOKUP(B952,[1]!Tabela1[[Cidades ]],[1]!Tabela1[Regional],0,0,1)</f>
        <v>Magno</v>
      </c>
      <c r="H952" s="8" t="str">
        <f>_xlfn.XLOOKUP(B952,[1]!Tabela1[[Cidades ]],[1]!Tabela1[Gerente],0,0,1)</f>
        <v>Demais coordenadores</v>
      </c>
    </row>
    <row r="953" spans="1:8" x14ac:dyDescent="0.3">
      <c r="A953" s="9" t="s">
        <v>1145</v>
      </c>
      <c r="B953" s="10" t="s">
        <v>25</v>
      </c>
      <c r="C953" s="11">
        <v>45838</v>
      </c>
      <c r="D953" s="12">
        <v>788656</v>
      </c>
      <c r="E953" s="5" t="str">
        <f>_xlfn.XLOOKUP(D953,[1]!Tabela24[Código consultor],[1]!Tabela24[Consultor Venda],0,0,1)</f>
        <v>PAR - STB - PAP - JOY TELECOM - GABRIELA ALVES DE GODOY</v>
      </c>
      <c r="F953" s="5" t="str">
        <f>_xlfn.XLOOKUP(D953,[1]!Tabela24[Código consultor],[1]!Tabela24[Canal Consultor],0,0,1)</f>
        <v>PAR_DIG</v>
      </c>
      <c r="G953" s="10" t="str">
        <f>_xlfn.XLOOKUP(B953,[1]!Tabela1[[Cidades ]],[1]!Tabela1[Regional],0,0,1)</f>
        <v>Maycon</v>
      </c>
      <c r="H953" s="13" t="str">
        <f>_xlfn.XLOOKUP(B953,[1]!Tabela1[[Cidades ]],[1]!Tabela1[Gerente],0,0,1)</f>
        <v>Demais coordenadores</v>
      </c>
    </row>
    <row r="954" spans="1:8" x14ac:dyDescent="0.3">
      <c r="A954" s="4" t="s">
        <v>1146</v>
      </c>
      <c r="B954" s="5" t="s">
        <v>61</v>
      </c>
      <c r="C954" s="6">
        <v>45838</v>
      </c>
      <c r="D954" s="7">
        <v>738880</v>
      </c>
      <c r="E954" s="5" t="str">
        <f>_xlfn.XLOOKUP(D954,[1]!Tabela24[Código consultor],[1]!Tabela24[Consultor Venda],0,0,1)</f>
        <v>PAR - PAP - MUNDIALE - ANA LUIZA COUTO MATIAS</v>
      </c>
      <c r="F954" s="5" t="str">
        <f>_xlfn.XLOOKUP(D954,[1]!Tabela24[Código consultor],[1]!Tabela24[Canal Consultor],0,0,1)</f>
        <v>PAR_DIG</v>
      </c>
      <c r="G954" s="5" t="str">
        <f>_xlfn.XLOOKUP(B954,[1]!Tabela1[[Cidades ]],[1]!Tabela1[Regional],0,0,1)</f>
        <v>Maycon</v>
      </c>
      <c r="H954" s="8" t="str">
        <f>_xlfn.XLOOKUP(B954,[1]!Tabela1[[Cidades ]],[1]!Tabela1[Gerente],0,0,1)</f>
        <v>Demais coordenadores</v>
      </c>
    </row>
    <row r="955" spans="1:8" x14ac:dyDescent="0.3">
      <c r="A955" s="9" t="s">
        <v>1147</v>
      </c>
      <c r="B955" s="10" t="s">
        <v>23</v>
      </c>
      <c r="C955" s="11">
        <v>45838</v>
      </c>
      <c r="D955" s="12">
        <v>262147</v>
      </c>
      <c r="E955" s="5" t="str">
        <f>_xlfn.XLOOKUP(D955,[1]!Tabela24[Código consultor],[1]!Tabela24[Consultor Venda],0,0,1)</f>
        <v>COM - GTI - ALESANDRA PETRY BRAZEIRO</v>
      </c>
      <c r="F955" s="5" t="str">
        <f>_xlfn.XLOOKUP(D955,[1]!Tabela24[Código consultor],[1]!Tabela24[Canal Consultor],0,0,1)</f>
        <v>Pap</v>
      </c>
      <c r="G955" s="10" t="str">
        <f>_xlfn.XLOOKUP(B955,[1]!Tabela1[[Cidades ]],[1]!Tabela1[Regional],0,0,1)</f>
        <v>Magno</v>
      </c>
      <c r="H955" s="13" t="str">
        <f>_xlfn.XLOOKUP(B955,[1]!Tabela1[[Cidades ]],[1]!Tabela1[Gerente],0,0,1)</f>
        <v>Demais coordenadores</v>
      </c>
    </row>
    <row r="956" spans="1:8" x14ac:dyDescent="0.3">
      <c r="A956" s="4" t="s">
        <v>1149</v>
      </c>
      <c r="B956" s="5" t="s">
        <v>19</v>
      </c>
      <c r="C956" s="6">
        <v>45838</v>
      </c>
      <c r="D956" s="7">
        <v>725067</v>
      </c>
      <c r="E956" s="5" t="str">
        <f>_xlfn.XLOOKUP(D956,[1]!Tabela24[Código consultor],[1]!Tabela24[Consultor Venda],0,0,1)</f>
        <v>COM - CHN - MICHELY SANTOS DOS SANTOS</v>
      </c>
      <c r="F956" s="5" t="str">
        <f>_xlfn.XLOOKUP(D956,[1]!Tabela24[Código consultor],[1]!Tabela24[Canal Consultor],0,0,1)</f>
        <v>Pap</v>
      </c>
      <c r="G956" s="5" t="str">
        <f>_xlfn.XLOOKUP(B956,[1]!Tabela1[[Cidades ]],[1]!Tabela1[Regional],0,0,1)</f>
        <v>Magno</v>
      </c>
      <c r="H956" s="8" t="str">
        <f>_xlfn.XLOOKUP(B956,[1]!Tabela1[[Cidades ]],[1]!Tabela1[Gerente],0,0,1)</f>
        <v>Demais coordenadores</v>
      </c>
    </row>
    <row r="957" spans="1:8" x14ac:dyDescent="0.3">
      <c r="A957" s="9" t="s">
        <v>1150</v>
      </c>
      <c r="B957" s="10" t="s">
        <v>23</v>
      </c>
      <c r="C957" s="11">
        <v>45838</v>
      </c>
      <c r="D957" s="12">
        <v>876162</v>
      </c>
      <c r="E957" s="5" t="str">
        <f>_xlfn.XLOOKUP(D957,[1]!Tabela24[Código consultor],[1]!Tabela24[Consultor Venda],0,0,1)</f>
        <v>COM - CAN - PAULA VITORIA ELIAS VIEIRA</v>
      </c>
      <c r="F957" s="5" t="str">
        <f>_xlfn.XLOOKUP(D957,[1]!Tabela24[Código consultor],[1]!Tabela24[Canal Consultor],0,0,1)</f>
        <v>Pap</v>
      </c>
      <c r="G957" s="10" t="str">
        <f>_xlfn.XLOOKUP(B957,[1]!Tabela1[[Cidades ]],[1]!Tabela1[Regional],0,0,1)</f>
        <v>Magno</v>
      </c>
      <c r="H957" s="13" t="str">
        <f>_xlfn.XLOOKUP(B957,[1]!Tabela1[[Cidades ]],[1]!Tabela1[Gerente],0,0,1)</f>
        <v>Demais coordenadores</v>
      </c>
    </row>
    <row r="958" spans="1:8" x14ac:dyDescent="0.3">
      <c r="A958" s="4" t="s">
        <v>1152</v>
      </c>
      <c r="B958" s="5" t="s">
        <v>23</v>
      </c>
      <c r="C958" s="6">
        <v>45838</v>
      </c>
      <c r="D958" s="7">
        <v>788656</v>
      </c>
      <c r="E958" s="5" t="str">
        <f>_xlfn.XLOOKUP(D958,[1]!Tabela24[Código consultor],[1]!Tabela24[Consultor Venda],0,0,1)</f>
        <v>PAR - STB - PAP - JOY TELECOM - GABRIELA ALVES DE GODOY</v>
      </c>
      <c r="F958" s="5" t="str">
        <f>_xlfn.XLOOKUP(D958,[1]!Tabela24[Código consultor],[1]!Tabela24[Canal Consultor],0,0,1)</f>
        <v>PAR_DIG</v>
      </c>
      <c r="G958" s="5" t="str">
        <f>_xlfn.XLOOKUP(B958,[1]!Tabela1[[Cidades ]],[1]!Tabela1[Regional],0,0,1)</f>
        <v>Magno</v>
      </c>
      <c r="H958" s="8" t="str">
        <f>_xlfn.XLOOKUP(B958,[1]!Tabela1[[Cidades ]],[1]!Tabela1[Gerente],0,0,1)</f>
        <v>Demais coordenadores</v>
      </c>
    </row>
    <row r="959" spans="1:8" x14ac:dyDescent="0.3">
      <c r="A959" s="9" t="s">
        <v>1157</v>
      </c>
      <c r="B959" s="10" t="s">
        <v>35</v>
      </c>
      <c r="C959" s="11">
        <v>45838</v>
      </c>
      <c r="D959" s="12">
        <v>766269</v>
      </c>
      <c r="E959" s="5" t="str">
        <f>_xlfn.XLOOKUP(D959,[1]!Tabela24[Código consultor],[1]!Tabela24[Consultor Venda],0,0,1)</f>
        <v>COM - FRL - THALIA PRATES RIGHI</v>
      </c>
      <c r="F959" s="5" t="str">
        <f>_xlfn.XLOOKUP(D959,[1]!Tabela24[Código consultor],[1]!Tabela24[Canal Consultor],0,0,1)</f>
        <v>Pap</v>
      </c>
      <c r="G959" s="10" t="str">
        <f>_xlfn.XLOOKUP(B959,[1]!Tabela1[[Cidades ]],[1]!Tabela1[Regional],0,0,1)</f>
        <v>Magno</v>
      </c>
      <c r="H959" s="13" t="str">
        <f>_xlfn.XLOOKUP(B959,[1]!Tabela1[[Cidades ]],[1]!Tabela1[Gerente],0,0,1)</f>
        <v>Demais coordenadores</v>
      </c>
    </row>
    <row r="960" spans="1:8" x14ac:dyDescent="0.3">
      <c r="A960" s="4" t="s">
        <v>1158</v>
      </c>
      <c r="B960" s="5" t="s">
        <v>41</v>
      </c>
      <c r="C960" s="6">
        <v>45838</v>
      </c>
      <c r="D960" s="7">
        <v>837970</v>
      </c>
      <c r="E960" s="5" t="str">
        <f>_xlfn.XLOOKUP(D960,[1]!Tabela24[Código consultor],[1]!Tabela24[Consultor Venda],0,0,1)</f>
        <v>COM - CLD - SUELEN STETST DOS SANTOS</v>
      </c>
      <c r="F960" s="5" t="str">
        <f>_xlfn.XLOOKUP(D960,[1]!Tabela24[Código consultor],[1]!Tabela24[Canal Consultor],0,0,1)</f>
        <v>INTERNO</v>
      </c>
      <c r="G960" s="5" t="str">
        <f>_xlfn.XLOOKUP(B960,[1]!Tabela1[[Cidades ]],[1]!Tabela1[Regional],0,0,1)</f>
        <v>Maycon</v>
      </c>
      <c r="H960" s="8" t="str">
        <f>_xlfn.XLOOKUP(B960,[1]!Tabela1[[Cidades ]],[1]!Tabela1[Gerente],0,0,1)</f>
        <v>Demais coordenadores</v>
      </c>
    </row>
    <row r="961" spans="1:8" x14ac:dyDescent="0.3">
      <c r="A961" s="9" t="s">
        <v>1163</v>
      </c>
      <c r="B961" s="10" t="s">
        <v>96</v>
      </c>
      <c r="C961" s="11">
        <v>45838</v>
      </c>
      <c r="D961" s="12">
        <v>696769</v>
      </c>
      <c r="E961" s="5" t="str">
        <f>_xlfn.XLOOKUP(D961,[1]!Tabela24[Código consultor],[1]!Tabela24[Consultor Venda],0,0,1)</f>
        <v>COM - ERE - CLEONICE MARIA BUCHI</v>
      </c>
      <c r="F961" s="5" t="str">
        <f>_xlfn.XLOOKUP(D961,[1]!Tabela24[Código consultor],[1]!Tabela24[Canal Consultor],0,0,1)</f>
        <v>INTERNO</v>
      </c>
      <c r="G961" s="10" t="str">
        <f>_xlfn.XLOOKUP(B961,[1]!Tabela1[[Cidades ]],[1]!Tabela1[Regional],0,0,1)</f>
        <v>Alisson</v>
      </c>
      <c r="H961" s="13" t="str">
        <f>_xlfn.XLOOKUP(B961,[1]!Tabela1[[Cidades ]],[1]!Tabela1[Gerente],0,0,1)</f>
        <v>Karine</v>
      </c>
    </row>
    <row r="962" spans="1:8" x14ac:dyDescent="0.3">
      <c r="A962" s="4" t="s">
        <v>1163</v>
      </c>
      <c r="B962" s="5" t="s">
        <v>96</v>
      </c>
      <c r="C962" s="6">
        <v>45838</v>
      </c>
      <c r="D962" s="7">
        <v>696769</v>
      </c>
      <c r="E962" s="5" t="str">
        <f>_xlfn.XLOOKUP(D962,[1]!Tabela24[Código consultor],[1]!Tabela24[Consultor Venda],0,0,1)</f>
        <v>COM - ERE - CLEONICE MARIA BUCHI</v>
      </c>
      <c r="F962" s="5" t="str">
        <f>_xlfn.XLOOKUP(D962,[1]!Tabela24[Código consultor],[1]!Tabela24[Canal Consultor],0,0,1)</f>
        <v>INTERNO</v>
      </c>
      <c r="G962" s="5" t="str">
        <f>_xlfn.XLOOKUP(B962,[1]!Tabela1[[Cidades ]],[1]!Tabela1[Regional],0,0,1)</f>
        <v>Alisson</v>
      </c>
      <c r="H962" s="8" t="str">
        <f>_xlfn.XLOOKUP(B962,[1]!Tabela1[[Cidades ]],[1]!Tabela1[Gerente],0,0,1)</f>
        <v>Karine</v>
      </c>
    </row>
    <row r="963" spans="1:8" x14ac:dyDescent="0.3">
      <c r="A963" s="9" t="s">
        <v>1167</v>
      </c>
      <c r="B963" s="10" t="s">
        <v>125</v>
      </c>
      <c r="C963" s="11">
        <v>45838</v>
      </c>
      <c r="D963" s="12">
        <v>177442</v>
      </c>
      <c r="E963" s="5" t="str">
        <f>_xlfn.XLOOKUP(D963,[1]!Tabela24[Código consultor],[1]!Tabela24[Consultor Venda],0,0,1)</f>
        <v>COM - XXE - MARCOS MEZZOMO</v>
      </c>
      <c r="F963" s="5" t="str">
        <f>_xlfn.XLOOKUP(D963,[1]!Tabela24[Código consultor],[1]!Tabela24[Canal Consultor],0,0,1)</f>
        <v>Pap</v>
      </c>
      <c r="G963" s="10" t="str">
        <f>_xlfn.XLOOKUP(B963,[1]!Tabela1[[Cidades ]],[1]!Tabela1[Regional],0,0,1)</f>
        <v>Maycon</v>
      </c>
      <c r="H963" s="13" t="str">
        <f>_xlfn.XLOOKUP(B963,[1]!Tabela1[[Cidades ]],[1]!Tabela1[Gerente],0,0,1)</f>
        <v>Demais coordenadores</v>
      </c>
    </row>
    <row r="964" spans="1:8" x14ac:dyDescent="0.3">
      <c r="A964" s="4" t="s">
        <v>1168</v>
      </c>
      <c r="B964" s="5" t="s">
        <v>45</v>
      </c>
      <c r="C964" s="6">
        <v>45838</v>
      </c>
      <c r="D964" s="7">
        <v>529843</v>
      </c>
      <c r="E964" s="5" t="str">
        <f>_xlfn.XLOOKUP(D964,[1]!Tabela24[Código consultor],[1]!Tabela24[Consultor Venda],0,0,1)</f>
        <v>B2B - VALTER ARALDI JUNIOR</v>
      </c>
      <c r="F964" s="5" t="str">
        <f>_xlfn.XLOOKUP(D964,[1]!Tabela24[Código consultor],[1]!Tabela24[Canal Consultor],0,0,1)</f>
        <v>PAR_DIG</v>
      </c>
      <c r="G964" s="5" t="str">
        <f>_xlfn.XLOOKUP(B964,[1]!Tabela1[[Cidades ]],[1]!Tabela1[Regional],0,0,1)</f>
        <v>Jean</v>
      </c>
      <c r="H964" s="8" t="str">
        <f>_xlfn.XLOOKUP(B964,[1]!Tabela1[[Cidades ]],[1]!Tabela1[Gerente],0,0,1)</f>
        <v>Demais coordenadores</v>
      </c>
    </row>
    <row r="965" spans="1:8" x14ac:dyDescent="0.3">
      <c r="A965" s="9" t="s">
        <v>1169</v>
      </c>
      <c r="B965" s="10" t="s">
        <v>16</v>
      </c>
      <c r="C965" s="11">
        <v>45838</v>
      </c>
      <c r="D965" s="12">
        <v>696769</v>
      </c>
      <c r="E965" s="5" t="str">
        <f>_xlfn.XLOOKUP(D965,[1]!Tabela24[Código consultor],[1]!Tabela24[Consultor Venda],0,0,1)</f>
        <v>COM - ERE - CLEONICE MARIA BUCHI</v>
      </c>
      <c r="F965" s="5" t="str">
        <f>_xlfn.XLOOKUP(D965,[1]!Tabela24[Código consultor],[1]!Tabela24[Canal Consultor],0,0,1)</f>
        <v>INTERNO</v>
      </c>
      <c r="G965" s="10" t="str">
        <f>_xlfn.XLOOKUP(B965,[1]!Tabela1[[Cidades ]],[1]!Tabela1[Regional],0,0,1)</f>
        <v>Magno</v>
      </c>
      <c r="H965" s="13" t="str">
        <f>_xlfn.XLOOKUP(B965,[1]!Tabela1[[Cidades ]],[1]!Tabela1[Gerente],0,0,1)</f>
        <v>Demais coordenadores</v>
      </c>
    </row>
    <row r="966" spans="1:8" x14ac:dyDescent="0.3">
      <c r="A966" s="4" t="s">
        <v>1170</v>
      </c>
      <c r="B966" s="5" t="s">
        <v>13</v>
      </c>
      <c r="C966" s="6">
        <v>45838</v>
      </c>
      <c r="D966" s="7">
        <v>788656</v>
      </c>
      <c r="E966" s="5" t="str">
        <f>_xlfn.XLOOKUP(D966,[1]!Tabela24[Código consultor],[1]!Tabela24[Consultor Venda],0,0,1)</f>
        <v>PAR - STB - PAP - JOY TELECOM - GABRIELA ALVES DE GODOY</v>
      </c>
      <c r="F966" s="5" t="str">
        <f>_xlfn.XLOOKUP(D966,[1]!Tabela24[Código consultor],[1]!Tabela24[Canal Consultor],0,0,1)</f>
        <v>PAR_DIG</v>
      </c>
      <c r="G966" s="5" t="str">
        <f>_xlfn.XLOOKUP(B966,[1]!Tabela1[[Cidades ]],[1]!Tabela1[Regional],0,0,1)</f>
        <v>Alisson</v>
      </c>
      <c r="H966" s="8" t="str">
        <f>_xlfn.XLOOKUP(B966,[1]!Tabela1[[Cidades ]],[1]!Tabela1[Gerente],0,0,1)</f>
        <v>Ariana</v>
      </c>
    </row>
    <row r="967" spans="1:8" x14ac:dyDescent="0.3">
      <c r="A967" s="9" t="s">
        <v>1171</v>
      </c>
      <c r="B967" s="10" t="s">
        <v>53</v>
      </c>
      <c r="C967" s="11">
        <v>45838</v>
      </c>
      <c r="D967" s="12">
        <v>235841</v>
      </c>
      <c r="E967" s="5" t="str">
        <f>_xlfn.XLOOKUP(D967,[1]!Tabela24[Código consultor],[1]!Tabela24[Consultor Venda],0,0,1)</f>
        <v>DIG - CCO - KAUANA BONI</v>
      </c>
      <c r="F967" s="5" t="str">
        <f>_xlfn.XLOOKUP(D967,[1]!Tabela24[Código consultor],[1]!Tabela24[Canal Consultor],0,0,1)</f>
        <v>DIGITAL</v>
      </c>
      <c r="G967" s="10" t="str">
        <f>_xlfn.XLOOKUP(B967,[1]!Tabela1[[Cidades ]],[1]!Tabela1[Regional],0,0,1)</f>
        <v>Adilson</v>
      </c>
      <c r="H967" s="13" t="str">
        <f>_xlfn.XLOOKUP(B967,[1]!Tabela1[[Cidades ]],[1]!Tabela1[Gerente],0,0,1)</f>
        <v>Demais coordenadores</v>
      </c>
    </row>
    <row r="968" spans="1:8" x14ac:dyDescent="0.3">
      <c r="A968" s="4" t="s">
        <v>1173</v>
      </c>
      <c r="B968" s="5" t="s">
        <v>22</v>
      </c>
      <c r="C968" s="6">
        <v>45838</v>
      </c>
      <c r="D968" s="7">
        <v>822770</v>
      </c>
      <c r="E968" s="5" t="str">
        <f>_xlfn.XLOOKUP(D968,[1]!Tabela24[Código consultor],[1]!Tabela24[Consultor Venda],0,0,1)</f>
        <v>COM - SCR - VINICIUS ALCEMAR DA SILVA</v>
      </c>
      <c r="F968" s="5" t="str">
        <f>_xlfn.XLOOKUP(D968,[1]!Tabela24[Código consultor],[1]!Tabela24[Canal Consultor],0,0,1)</f>
        <v>Pap</v>
      </c>
      <c r="G968" s="5" t="str">
        <f>_xlfn.XLOOKUP(B968,[1]!Tabela1[[Cidades ]],[1]!Tabela1[Regional],0,0,1)</f>
        <v>Magno</v>
      </c>
      <c r="H968" s="8" t="str">
        <f>_xlfn.XLOOKUP(B968,[1]!Tabela1[[Cidades ]],[1]!Tabela1[Gerente],0,0,1)</f>
        <v>Demais coordenadores</v>
      </c>
    </row>
    <row r="969" spans="1:8" x14ac:dyDescent="0.3">
      <c r="A969" s="9" t="s">
        <v>1174</v>
      </c>
      <c r="B969" s="10" t="s">
        <v>19</v>
      </c>
      <c r="C969" s="11">
        <v>45838</v>
      </c>
      <c r="D969" s="12">
        <v>525458</v>
      </c>
      <c r="E969" s="5" t="str">
        <f>_xlfn.XLOOKUP(D969,[1]!Tabela24[Código consultor],[1]!Tabela24[Consultor Venda],0,0,1)</f>
        <v>PAR - ADM - GRP - FIGUEREDO MOBILE  - JOSELIO O. P. JUNIOR</v>
      </c>
      <c r="F969" s="5" t="str">
        <f>_xlfn.XLOOKUP(D969,[1]!Tabela24[Código consultor],[1]!Tabela24[Canal Consultor],0,0,1)</f>
        <v>PAR</v>
      </c>
      <c r="G969" s="10" t="str">
        <f>_xlfn.XLOOKUP(B969,[1]!Tabela1[[Cidades ]],[1]!Tabela1[Regional],0,0,1)</f>
        <v>Magno</v>
      </c>
      <c r="H969" s="13" t="str">
        <f>_xlfn.XLOOKUP(B969,[1]!Tabela1[[Cidades ]],[1]!Tabela1[Gerente],0,0,1)</f>
        <v>Demais coordenadores</v>
      </c>
    </row>
    <row r="970" spans="1:8" x14ac:dyDescent="0.3">
      <c r="A970" s="4" t="s">
        <v>1175</v>
      </c>
      <c r="B970" s="5" t="s">
        <v>29</v>
      </c>
      <c r="C970" s="6">
        <v>45838</v>
      </c>
      <c r="D970" s="7">
        <v>600710</v>
      </c>
      <c r="E970" s="5" t="str">
        <f>_xlfn.XLOOKUP(D970,[1]!Tabela24[Código consultor],[1]!Tabela24[Consultor Venda],0,0,1)</f>
        <v>DIG - CCO - BRUNA BALBINOTTI</v>
      </c>
      <c r="F970" s="5" t="str">
        <f>_xlfn.XLOOKUP(D970,[1]!Tabela24[Código consultor],[1]!Tabela24[Canal Consultor],0,0,1)</f>
        <v>DIGITAL</v>
      </c>
      <c r="G970" s="5" t="str">
        <f>_xlfn.XLOOKUP(B970,[1]!Tabela1[[Cidades ]],[1]!Tabela1[Regional],0,0,1)</f>
        <v>Adilson</v>
      </c>
      <c r="H970" s="8" t="str">
        <f>_xlfn.XLOOKUP(B970,[1]!Tabela1[[Cidades ]],[1]!Tabela1[Gerente],0,0,1)</f>
        <v>Demais coordenadores</v>
      </c>
    </row>
    <row r="971" spans="1:8" x14ac:dyDescent="0.3">
      <c r="A971" s="9" t="s">
        <v>1176</v>
      </c>
      <c r="B971" s="10" t="s">
        <v>95</v>
      </c>
      <c r="C971" s="11">
        <v>45838</v>
      </c>
      <c r="D971" s="12">
        <v>827465</v>
      </c>
      <c r="E971" s="5" t="str">
        <f>_xlfn.XLOOKUP(D971,[1]!Tabela24[Código consultor],[1]!Tabela24[Consultor Venda],0,0,1)</f>
        <v>DIG - ATV - TAINARA RODRIGUES CORDEIRO</v>
      </c>
      <c r="F971" s="5" t="str">
        <f>_xlfn.XLOOKUP(D971,[1]!Tabela24[Código consultor],[1]!Tabela24[Canal Consultor],0,0,1)</f>
        <v>Televendas Ativo</v>
      </c>
      <c r="G971" s="10" t="str">
        <f>_xlfn.XLOOKUP(B971,[1]!Tabela1[[Cidades ]],[1]!Tabela1[Regional],0,0,1)</f>
        <v>Alisson</v>
      </c>
      <c r="H971" s="13" t="str">
        <f>_xlfn.XLOOKUP(B971,[1]!Tabela1[[Cidades ]],[1]!Tabela1[Gerente],0,0,1)</f>
        <v>Ariana</v>
      </c>
    </row>
    <row r="972" spans="1:8" x14ac:dyDescent="0.3">
      <c r="A972" s="4" t="s">
        <v>1177</v>
      </c>
      <c r="B972" s="5" t="s">
        <v>38</v>
      </c>
      <c r="C972" s="6">
        <v>45838</v>
      </c>
      <c r="D972" s="7">
        <v>559912</v>
      </c>
      <c r="E972" s="5" t="str">
        <f>_xlfn.XLOOKUP(D972,[1]!Tabela24[Código consultor],[1]!Tabela24[Consultor Venda],0,0,1)</f>
        <v>COM - TEB - DEVAIR DE JESUS TALEVI</v>
      </c>
      <c r="F972" s="5" t="str">
        <f>_xlfn.XLOOKUP(D972,[1]!Tabela24[Código consultor],[1]!Tabela24[Canal Consultor],0,0,1)</f>
        <v>Pap</v>
      </c>
      <c r="G972" s="5" t="str">
        <f>_xlfn.XLOOKUP(B972,[1]!Tabela1[[Cidades ]],[1]!Tabela1[Regional],0,0,1)</f>
        <v>Jean</v>
      </c>
      <c r="H972" s="8" t="str">
        <f>_xlfn.XLOOKUP(B972,[1]!Tabela1[[Cidades ]],[1]!Tabela1[Gerente],0,0,1)</f>
        <v>Demais coordenadores</v>
      </c>
    </row>
    <row r="973" spans="1:8" x14ac:dyDescent="0.3">
      <c r="A973" s="9" t="s">
        <v>1178</v>
      </c>
      <c r="B973" s="10" t="s">
        <v>96</v>
      </c>
      <c r="C973" s="11">
        <v>45838</v>
      </c>
      <c r="D973" s="12">
        <v>213687</v>
      </c>
      <c r="E973" s="5" t="str">
        <f>_xlfn.XLOOKUP(D973,[1]!Tabela24[Código consultor],[1]!Tabela24[Consultor Venda],0,0,1)</f>
        <v>COM - ERE - GABRIELE FERREIRA FORTUNATO</v>
      </c>
      <c r="F973" s="5" t="str">
        <f>_xlfn.XLOOKUP(D973,[1]!Tabela24[Código consultor],[1]!Tabela24[Canal Consultor],0,0,1)</f>
        <v>INTERNO</v>
      </c>
      <c r="G973" s="10" t="str">
        <f>_xlfn.XLOOKUP(B973,[1]!Tabela1[[Cidades ]],[1]!Tabela1[Regional],0,0,1)</f>
        <v>Alisson</v>
      </c>
      <c r="H973" s="13" t="str">
        <f>_xlfn.XLOOKUP(B973,[1]!Tabela1[[Cidades ]],[1]!Tabela1[Gerente],0,0,1)</f>
        <v>Karine</v>
      </c>
    </row>
    <row r="974" spans="1:8" x14ac:dyDescent="0.3">
      <c r="A974" s="4" t="s">
        <v>1180</v>
      </c>
      <c r="B974" s="5" t="s">
        <v>46</v>
      </c>
      <c r="C974" s="6">
        <v>45838</v>
      </c>
      <c r="D974" s="7">
        <v>46617</v>
      </c>
      <c r="E974" s="5" t="str">
        <f>_xlfn.XLOOKUP(D974,[1]!Tabela24[Código consultor],[1]!Tabela24[Consultor Venda],0,0,1)</f>
        <v>COM - BGV - VICTOR MATHEUS MARIUZZA</v>
      </c>
      <c r="F974" s="5" t="str">
        <f>_xlfn.XLOOKUP(D974,[1]!Tabela24[Código consultor],[1]!Tabela24[Canal Consultor],0,0,1)</f>
        <v>INTERNO</v>
      </c>
      <c r="G974" s="5" t="str">
        <f>_xlfn.XLOOKUP(B974,[1]!Tabela1[[Cidades ]],[1]!Tabela1[Regional],0,0,1)</f>
        <v>Magno</v>
      </c>
      <c r="H974" s="8" t="str">
        <f>_xlfn.XLOOKUP(B974,[1]!Tabela1[[Cidades ]],[1]!Tabela1[Gerente],0,0,1)</f>
        <v>Demais coordenadores</v>
      </c>
    </row>
    <row r="975" spans="1:8" x14ac:dyDescent="0.3">
      <c r="A975" s="9" t="s">
        <v>1181</v>
      </c>
      <c r="B975" s="10" t="s">
        <v>59</v>
      </c>
      <c r="C975" s="11">
        <v>45838</v>
      </c>
      <c r="D975" s="12">
        <v>788656</v>
      </c>
      <c r="E975" s="5" t="str">
        <f>_xlfn.XLOOKUP(D975,[1]!Tabela24[Código consultor],[1]!Tabela24[Consultor Venda],0,0,1)</f>
        <v>PAR - STB - PAP - JOY TELECOM - GABRIELA ALVES DE GODOY</v>
      </c>
      <c r="F975" s="5" t="str">
        <f>_xlfn.XLOOKUP(D975,[1]!Tabela24[Código consultor],[1]!Tabela24[Canal Consultor],0,0,1)</f>
        <v>PAR_DIG</v>
      </c>
      <c r="G975" s="10" t="str">
        <f>_xlfn.XLOOKUP(B975,[1]!Tabela1[[Cidades ]],[1]!Tabela1[Regional],0,0,1)</f>
        <v>Adilson</v>
      </c>
      <c r="H975" s="13" t="str">
        <f>_xlfn.XLOOKUP(B975,[1]!Tabela1[[Cidades ]],[1]!Tabela1[Gerente],0,0,1)</f>
        <v>Demais coordenadores</v>
      </c>
    </row>
    <row r="976" spans="1:8" x14ac:dyDescent="0.3">
      <c r="A976" s="4" t="s">
        <v>1182</v>
      </c>
      <c r="B976" s="5" t="s">
        <v>39</v>
      </c>
      <c r="C976" s="6">
        <v>45838</v>
      </c>
      <c r="D976" s="7">
        <v>547570</v>
      </c>
      <c r="E976" s="5" t="str">
        <f>_xlfn.XLOOKUP(D976,[1]!Tabela24[Código consultor],[1]!Tabela24[Consultor Venda],0,0,1)</f>
        <v>COM - LGS - ISABEL CRISTINA RODRIGUES DE JESUS</v>
      </c>
      <c r="F976" s="5" t="str">
        <f>_xlfn.XLOOKUP(D976,[1]!Tabela24[Código consultor],[1]!Tabela24[Canal Consultor],0,0,1)</f>
        <v>INTERNO</v>
      </c>
      <c r="G976" s="5" t="str">
        <f>_xlfn.XLOOKUP(B976,[1]!Tabela1[[Cidades ]],[1]!Tabela1[Regional],0,0,1)</f>
        <v>Marcio</v>
      </c>
      <c r="H976" s="8" t="str">
        <f>_xlfn.XLOOKUP(B976,[1]!Tabela1[[Cidades ]],[1]!Tabela1[Gerente],0,0,1)</f>
        <v>Demais coordenadores</v>
      </c>
    </row>
    <row r="977" spans="1:8" x14ac:dyDescent="0.3">
      <c r="A977" s="9" t="s">
        <v>1183</v>
      </c>
      <c r="B977" s="10" t="s">
        <v>23</v>
      </c>
      <c r="C977" s="11">
        <v>45838</v>
      </c>
      <c r="D977" s="12">
        <v>878638</v>
      </c>
      <c r="E977" s="5" t="str">
        <f>_xlfn.XLOOKUP(D977,[1]!Tabela24[Código consultor],[1]!Tabela24[Consultor Venda],0,0,1)</f>
        <v>COM - CAN - STEPHANI CRISTINA DUARTE BENITES</v>
      </c>
      <c r="F977" s="5" t="str">
        <f>_xlfn.XLOOKUP(D977,[1]!Tabela24[Código consultor],[1]!Tabela24[Canal Consultor],0,0,1)</f>
        <v>Pap</v>
      </c>
      <c r="G977" s="10" t="str">
        <f>_xlfn.XLOOKUP(B977,[1]!Tabela1[[Cidades ]],[1]!Tabela1[Regional],0,0,1)</f>
        <v>Magno</v>
      </c>
      <c r="H977" s="13" t="str">
        <f>_xlfn.XLOOKUP(B977,[1]!Tabela1[[Cidades ]],[1]!Tabela1[Gerente],0,0,1)</f>
        <v>Demais coordenadores</v>
      </c>
    </row>
    <row r="978" spans="1:8" x14ac:dyDescent="0.3">
      <c r="A978" s="4" t="s">
        <v>1184</v>
      </c>
      <c r="B978" s="5" t="s">
        <v>38</v>
      </c>
      <c r="C978" s="6">
        <v>45838</v>
      </c>
      <c r="D978" s="7">
        <v>619784</v>
      </c>
      <c r="E978" s="5" t="str">
        <f>_xlfn.XLOOKUP(D978,[1]!Tabela24[Código consultor],[1]!Tabela24[Consultor Venda],0,0,1)</f>
        <v>COM - TEB - SUELEN DE FATIMA DO AMARAL</v>
      </c>
      <c r="F978" s="5" t="str">
        <f>_xlfn.XLOOKUP(D978,[1]!Tabela24[Código consultor],[1]!Tabela24[Canal Consultor],0,0,1)</f>
        <v>INTERNO</v>
      </c>
      <c r="G978" s="5" t="str">
        <f>_xlfn.XLOOKUP(B978,[1]!Tabela1[[Cidades ]],[1]!Tabela1[Regional],0,0,1)</f>
        <v>Jean</v>
      </c>
      <c r="H978" s="8" t="str">
        <f>_xlfn.XLOOKUP(B978,[1]!Tabela1[[Cidades ]],[1]!Tabela1[Gerente],0,0,1)</f>
        <v>Demais coordenadores</v>
      </c>
    </row>
    <row r="979" spans="1:8" x14ac:dyDescent="0.3">
      <c r="A979" s="9" t="s">
        <v>1186</v>
      </c>
      <c r="B979" s="10" t="s">
        <v>38</v>
      </c>
      <c r="C979" s="11">
        <v>45838</v>
      </c>
      <c r="D979" s="12">
        <v>559912</v>
      </c>
      <c r="E979" s="5" t="str">
        <f>_xlfn.XLOOKUP(D979,[1]!Tabela24[Código consultor],[1]!Tabela24[Consultor Venda],0,0,1)</f>
        <v>COM - TEB - DEVAIR DE JESUS TALEVI</v>
      </c>
      <c r="F979" s="5" t="str">
        <f>_xlfn.XLOOKUP(D979,[1]!Tabela24[Código consultor],[1]!Tabela24[Canal Consultor],0,0,1)</f>
        <v>Pap</v>
      </c>
      <c r="G979" s="10" t="str">
        <f>_xlfn.XLOOKUP(B979,[1]!Tabela1[[Cidades ]],[1]!Tabela1[Regional],0,0,1)</f>
        <v>Jean</v>
      </c>
      <c r="H979" s="13" t="str">
        <f>_xlfn.XLOOKUP(B979,[1]!Tabela1[[Cidades ]],[1]!Tabela1[Gerente],0,0,1)</f>
        <v>Demais coordenadores</v>
      </c>
    </row>
    <row r="980" spans="1:8" x14ac:dyDescent="0.3">
      <c r="A980" s="4" t="s">
        <v>1191</v>
      </c>
      <c r="B980" s="5" t="s">
        <v>12</v>
      </c>
      <c r="C980" s="6">
        <v>45838</v>
      </c>
      <c r="D980" s="7">
        <v>788656</v>
      </c>
      <c r="E980" s="5" t="str">
        <f>_xlfn.XLOOKUP(D980,[1]!Tabela24[Código consultor],[1]!Tabela24[Consultor Venda],0,0,1)</f>
        <v>PAR - STB - PAP - JOY TELECOM - GABRIELA ALVES DE GODOY</v>
      </c>
      <c r="F980" s="5" t="str">
        <f>_xlfn.XLOOKUP(D980,[1]!Tabela24[Código consultor],[1]!Tabela24[Canal Consultor],0,0,1)</f>
        <v>PAR_DIG</v>
      </c>
      <c r="G980" s="5" t="str">
        <f>_xlfn.XLOOKUP(B980,[1]!Tabela1[[Cidades ]],[1]!Tabela1[Regional],0,0,1)</f>
        <v>Jean</v>
      </c>
      <c r="H980" s="8" t="str">
        <f>_xlfn.XLOOKUP(B980,[1]!Tabela1[[Cidades ]],[1]!Tabela1[Gerente],0,0,1)</f>
        <v>Demais coordenadores</v>
      </c>
    </row>
    <row r="981" spans="1:8" x14ac:dyDescent="0.3">
      <c r="A981" s="9" t="s">
        <v>1192</v>
      </c>
      <c r="B981" s="10" t="s">
        <v>26</v>
      </c>
      <c r="C981" s="11">
        <v>45838</v>
      </c>
      <c r="D981" s="12">
        <v>617463</v>
      </c>
      <c r="E981" s="5" t="str">
        <f>_xlfn.XLOOKUP(D981,[1]!Tabela24[Código consultor],[1]!Tabela24[Consultor Venda],0,0,1)</f>
        <v>DIG - CCO - ALEX AUGUSTO DA CRUZ RODRIGUES</v>
      </c>
      <c r="F981" s="5" t="str">
        <f>_xlfn.XLOOKUP(D981,[1]!Tabela24[Código consultor],[1]!Tabela24[Canal Consultor],0,0,1)</f>
        <v>DIGITAL</v>
      </c>
      <c r="G981" s="10" t="str">
        <f>_xlfn.XLOOKUP(B981,[1]!Tabela1[[Cidades ]],[1]!Tabela1[Regional],0,0,1)</f>
        <v>Magno</v>
      </c>
      <c r="H981" s="13" t="str">
        <f>_xlfn.XLOOKUP(B981,[1]!Tabela1[[Cidades ]],[1]!Tabela1[Gerente],0,0,1)</f>
        <v>Demais coordenadores</v>
      </c>
    </row>
    <row r="982" spans="1:8" x14ac:dyDescent="0.3">
      <c r="A982" s="4" t="s">
        <v>1193</v>
      </c>
      <c r="B982" s="5" t="s">
        <v>13</v>
      </c>
      <c r="C982" s="6">
        <v>45838</v>
      </c>
      <c r="D982" s="7">
        <v>617463</v>
      </c>
      <c r="E982" s="5" t="str">
        <f>_xlfn.XLOOKUP(D982,[1]!Tabela24[Código consultor],[1]!Tabela24[Consultor Venda],0,0,1)</f>
        <v>DIG - CCO - ALEX AUGUSTO DA CRUZ RODRIGUES</v>
      </c>
      <c r="F982" s="5" t="str">
        <f>_xlfn.XLOOKUP(D982,[1]!Tabela24[Código consultor],[1]!Tabela24[Canal Consultor],0,0,1)</f>
        <v>DIGITAL</v>
      </c>
      <c r="G982" s="5" t="str">
        <f>_xlfn.XLOOKUP(B982,[1]!Tabela1[[Cidades ]],[1]!Tabela1[Regional],0,0,1)</f>
        <v>Alisson</v>
      </c>
      <c r="H982" s="8" t="str">
        <f>_xlfn.XLOOKUP(B982,[1]!Tabela1[[Cidades ]],[1]!Tabela1[Gerente],0,0,1)</f>
        <v>Ariana</v>
      </c>
    </row>
    <row r="983" spans="1:8" x14ac:dyDescent="0.3">
      <c r="A983" s="9" t="s">
        <v>1197</v>
      </c>
      <c r="B983" s="10" t="s">
        <v>62</v>
      </c>
      <c r="C983" s="11">
        <v>45838</v>
      </c>
      <c r="D983" s="12">
        <v>827465</v>
      </c>
      <c r="E983" s="5" t="str">
        <f>_xlfn.XLOOKUP(D983,[1]!Tabela24[Código consultor],[1]!Tabela24[Consultor Venda],0,0,1)</f>
        <v>DIG - ATV - TAINARA RODRIGUES CORDEIRO</v>
      </c>
      <c r="F983" s="5" t="str">
        <f>_xlfn.XLOOKUP(D983,[1]!Tabela24[Código consultor],[1]!Tabela24[Canal Consultor],0,0,1)</f>
        <v>Televendas Ativo</v>
      </c>
      <c r="G983" s="10" t="str">
        <f>_xlfn.XLOOKUP(B983,[1]!Tabela1[[Cidades ]],[1]!Tabela1[Regional],0,0,1)</f>
        <v>Adilson</v>
      </c>
      <c r="H983" s="13" t="str">
        <f>_xlfn.XLOOKUP(B983,[1]!Tabela1[[Cidades ]],[1]!Tabela1[Gerente],0,0,1)</f>
        <v>Demais coordenadores</v>
      </c>
    </row>
    <row r="984" spans="1:8" x14ac:dyDescent="0.3">
      <c r="A984" s="4" t="s">
        <v>1199</v>
      </c>
      <c r="B984" s="5" t="s">
        <v>125</v>
      </c>
      <c r="C984" s="6">
        <v>45838</v>
      </c>
      <c r="D984" s="7">
        <v>177442</v>
      </c>
      <c r="E984" s="5" t="str">
        <f>_xlfn.XLOOKUP(D984,[1]!Tabela24[Código consultor],[1]!Tabela24[Consultor Venda],0,0,1)</f>
        <v>COM - XXE - MARCOS MEZZOMO</v>
      </c>
      <c r="F984" s="5" t="str">
        <f>_xlfn.XLOOKUP(D984,[1]!Tabela24[Código consultor],[1]!Tabela24[Canal Consultor],0,0,1)</f>
        <v>Pap</v>
      </c>
      <c r="G984" s="5" t="str">
        <f>_xlfn.XLOOKUP(B984,[1]!Tabela1[[Cidades ]],[1]!Tabela1[Regional],0,0,1)</f>
        <v>Maycon</v>
      </c>
      <c r="H984" s="8" t="str">
        <f>_xlfn.XLOOKUP(B984,[1]!Tabela1[[Cidades ]],[1]!Tabela1[Gerente],0,0,1)</f>
        <v>Demais coordenadores</v>
      </c>
    </row>
    <row r="985" spans="1:8" x14ac:dyDescent="0.3">
      <c r="A985" s="9" t="s">
        <v>1200</v>
      </c>
      <c r="B985" s="10" t="s">
        <v>102</v>
      </c>
      <c r="C985" s="11">
        <v>45838</v>
      </c>
      <c r="D985" s="12">
        <v>391388</v>
      </c>
      <c r="E985" s="5" t="str">
        <f>_xlfn.XLOOKUP(D985,[1]!Tabela24[Código consultor],[1]!Tabela24[Consultor Venda],0,0,1)</f>
        <v>PAR - COM - SUV - IDEL - ROSMARI MICHELIN</v>
      </c>
      <c r="F985" s="5" t="str">
        <f>_xlfn.XLOOKUP(D985,[1]!Tabela24[Código consultor],[1]!Tabela24[Canal Consultor],0,0,1)</f>
        <v>PAR</v>
      </c>
      <c r="G985" s="10" t="str">
        <f>_xlfn.XLOOKUP(B985,[1]!Tabela1[[Cidades ]],[1]!Tabela1[Regional],0,0,1)</f>
        <v>Alisson</v>
      </c>
      <c r="H985" s="13" t="str">
        <f>_xlfn.XLOOKUP(B985,[1]!Tabela1[[Cidades ]],[1]!Tabela1[Gerente],0,0,1)</f>
        <v>Tatiane</v>
      </c>
    </row>
    <row r="986" spans="1:8" x14ac:dyDescent="0.3">
      <c r="A986" s="4" t="s">
        <v>1201</v>
      </c>
      <c r="B986" s="5" t="s">
        <v>18</v>
      </c>
      <c r="C986" s="6">
        <v>45838</v>
      </c>
      <c r="D986" s="7">
        <v>801750</v>
      </c>
      <c r="E986" s="5" t="str">
        <f>_xlfn.XLOOKUP(D986,[1]!Tabela24[Código consultor],[1]!Tabela24[Consultor Venda],0,0,1)</f>
        <v>COM - MVH - CAROLINE THAIS GONSALVES</v>
      </c>
      <c r="F986" s="5" t="str">
        <f>_xlfn.XLOOKUP(D986,[1]!Tabela24[Código consultor],[1]!Tabela24[Canal Consultor],0,0,1)</f>
        <v>INTERNO</v>
      </c>
      <c r="G986" s="5" t="str">
        <f>_xlfn.XLOOKUP(B986,[1]!Tabela1[[Cidades ]],[1]!Tabela1[Regional],0,0,1)</f>
        <v>Maycon</v>
      </c>
      <c r="H986" s="8" t="str">
        <f>_xlfn.XLOOKUP(B986,[1]!Tabela1[[Cidades ]],[1]!Tabela1[Gerente],0,0,1)</f>
        <v>Demais coordenadores</v>
      </c>
    </row>
    <row r="987" spans="1:8" x14ac:dyDescent="0.3">
      <c r="A987" s="9" t="s">
        <v>1202</v>
      </c>
      <c r="B987" s="10" t="s">
        <v>38</v>
      </c>
      <c r="C987" s="11">
        <v>45838</v>
      </c>
      <c r="D987" s="12">
        <v>559912</v>
      </c>
      <c r="E987" s="5" t="str">
        <f>_xlfn.XLOOKUP(D987,[1]!Tabela24[Código consultor],[1]!Tabela24[Consultor Venda],0,0,1)</f>
        <v>COM - TEB - DEVAIR DE JESUS TALEVI</v>
      </c>
      <c r="F987" s="5" t="str">
        <f>_xlfn.XLOOKUP(D987,[1]!Tabela24[Código consultor],[1]!Tabela24[Canal Consultor],0,0,1)</f>
        <v>Pap</v>
      </c>
      <c r="G987" s="10" t="str">
        <f>_xlfn.XLOOKUP(B987,[1]!Tabela1[[Cidades ]],[1]!Tabela1[Regional],0,0,1)</f>
        <v>Jean</v>
      </c>
      <c r="H987" s="13" t="str">
        <f>_xlfn.XLOOKUP(B987,[1]!Tabela1[[Cidades ]],[1]!Tabela1[Gerente],0,0,1)</f>
        <v>Demais coordenadores</v>
      </c>
    </row>
    <row r="988" spans="1:8" x14ac:dyDescent="0.3">
      <c r="A988" s="4" t="s">
        <v>1203</v>
      </c>
      <c r="B988" s="5" t="s">
        <v>23</v>
      </c>
      <c r="C988" s="6">
        <v>45838</v>
      </c>
      <c r="D988" s="7">
        <v>876162</v>
      </c>
      <c r="E988" s="5" t="str">
        <f>_xlfn.XLOOKUP(D988,[1]!Tabela24[Código consultor],[1]!Tabela24[Consultor Venda],0,0,1)</f>
        <v>COM - CAN - PAULA VITORIA ELIAS VIEIRA</v>
      </c>
      <c r="F988" s="5" t="str">
        <f>_xlfn.XLOOKUP(D988,[1]!Tabela24[Código consultor],[1]!Tabela24[Canal Consultor],0,0,1)</f>
        <v>Pap</v>
      </c>
      <c r="G988" s="5" t="str">
        <f>_xlfn.XLOOKUP(B988,[1]!Tabela1[[Cidades ]],[1]!Tabela1[Regional],0,0,1)</f>
        <v>Magno</v>
      </c>
      <c r="H988" s="8" t="str">
        <f>_xlfn.XLOOKUP(B988,[1]!Tabela1[[Cidades ]],[1]!Tabela1[Gerente],0,0,1)</f>
        <v>Demais coordenadores</v>
      </c>
    </row>
    <row r="989" spans="1:8" x14ac:dyDescent="0.3">
      <c r="A989" s="9" t="s">
        <v>1204</v>
      </c>
      <c r="B989" s="10" t="s">
        <v>59</v>
      </c>
      <c r="C989" s="11">
        <v>45838</v>
      </c>
      <c r="D989" s="12">
        <v>794227</v>
      </c>
      <c r="E989" s="5" t="str">
        <f>_xlfn.XLOOKUP(D989,[1]!Tabela24[Código consultor],[1]!Tabela24[Consultor Venda],0,0,1)</f>
        <v>PAR - PAP - TECH PERFORMANCE - Dario de Oliveira</v>
      </c>
      <c r="F989" s="5" t="str">
        <f>_xlfn.XLOOKUP(D989,[1]!Tabela24[Código consultor],[1]!Tabela24[Canal Consultor],0,0,1)</f>
        <v>Par</v>
      </c>
      <c r="G989" s="10" t="str">
        <f>_xlfn.XLOOKUP(B989,[1]!Tabela1[[Cidades ]],[1]!Tabela1[Regional],0,0,1)</f>
        <v>Adilson</v>
      </c>
      <c r="H989" s="13" t="str">
        <f>_xlfn.XLOOKUP(B989,[1]!Tabela1[[Cidades ]],[1]!Tabela1[Gerente],0,0,1)</f>
        <v>Demais coordenadores</v>
      </c>
    </row>
    <row r="990" spans="1:8" x14ac:dyDescent="0.3">
      <c r="A990" s="4" t="s">
        <v>1206</v>
      </c>
      <c r="B990" s="5" t="s">
        <v>19</v>
      </c>
      <c r="C990" s="6">
        <v>45838</v>
      </c>
      <c r="D990" s="7">
        <v>882296</v>
      </c>
      <c r="E990" s="5" t="str">
        <f>_xlfn.XLOOKUP(D990,[1]!Tabela24[Código consultor],[1]!Tabela24[Consultor Venda],0,0,1)</f>
        <v>COM - CHN - ANIBAL DE SOUZA NETO</v>
      </c>
      <c r="F990" s="5" t="str">
        <f>_xlfn.XLOOKUP(D990,[1]!Tabela24[Código consultor],[1]!Tabela24[Canal Consultor],0,0,1)</f>
        <v>Pap</v>
      </c>
      <c r="G990" s="5" t="str">
        <f>_xlfn.XLOOKUP(B990,[1]!Tabela1[[Cidades ]],[1]!Tabela1[Regional],0,0,1)</f>
        <v>Magno</v>
      </c>
      <c r="H990" s="8" t="str">
        <f>_xlfn.XLOOKUP(B990,[1]!Tabela1[[Cidades ]],[1]!Tabela1[Gerente],0,0,1)</f>
        <v>Demais coordenadores</v>
      </c>
    </row>
    <row r="991" spans="1:8" x14ac:dyDescent="0.3">
      <c r="A991" s="9" t="s">
        <v>1207</v>
      </c>
      <c r="B991" s="10" t="s">
        <v>16</v>
      </c>
      <c r="C991" s="11">
        <v>45838</v>
      </c>
      <c r="D991" s="12">
        <v>880349</v>
      </c>
      <c r="E991" s="5" t="str">
        <f>_xlfn.XLOOKUP(D991,[1]!Tabela24[Código consultor],[1]!Tabela24[Consultor Venda],0,0,1)</f>
        <v>COM - CSL - LUIS EDUARDO SLONGO PAIM</v>
      </c>
      <c r="F991" s="5" t="str">
        <f>_xlfn.XLOOKUP(D991,[1]!Tabela24[Código consultor],[1]!Tabela24[Canal Consultor],0,0,1)</f>
        <v>Pap</v>
      </c>
      <c r="G991" s="10" t="str">
        <f>_xlfn.XLOOKUP(B991,[1]!Tabela1[[Cidades ]],[1]!Tabela1[Regional],0,0,1)</f>
        <v>Magno</v>
      </c>
      <c r="H991" s="13" t="str">
        <f>_xlfn.XLOOKUP(B991,[1]!Tabela1[[Cidades ]],[1]!Tabela1[Gerente],0,0,1)</f>
        <v>Demais coordenadores</v>
      </c>
    </row>
    <row r="992" spans="1:8" x14ac:dyDescent="0.3">
      <c r="A992" s="4" t="s">
        <v>1212</v>
      </c>
      <c r="B992" s="5" t="s">
        <v>43</v>
      </c>
      <c r="C992" s="6">
        <v>45838</v>
      </c>
      <c r="D992" s="7">
        <v>40828</v>
      </c>
      <c r="E992" s="5" t="str">
        <f>_xlfn.XLOOKUP(D992,[1]!Tabela24[Código consultor],[1]!Tabela24[Consultor Venda],0,0,1)</f>
        <v>COM - PGO - CRISTIANE APARECIDA CHIAMULERA</v>
      </c>
      <c r="F992" s="5" t="str">
        <f>_xlfn.XLOOKUP(D992,[1]!Tabela24[Código consultor],[1]!Tabela24[Canal Consultor],0,0,1)</f>
        <v>Pap</v>
      </c>
      <c r="G992" s="5" t="str">
        <f>_xlfn.XLOOKUP(B992,[1]!Tabela1[[Cidades ]],[1]!Tabela1[Regional],0,0,1)</f>
        <v>Jean</v>
      </c>
      <c r="H992" s="8" t="str">
        <f>_xlfn.XLOOKUP(B992,[1]!Tabela1[[Cidades ]],[1]!Tabela1[Gerente],0,0,1)</f>
        <v>Demais coordenadores</v>
      </c>
    </row>
    <row r="993" spans="1:8" x14ac:dyDescent="0.3">
      <c r="A993" s="9" t="s">
        <v>1213</v>
      </c>
      <c r="B993" s="10" t="s">
        <v>50</v>
      </c>
      <c r="C993" s="11">
        <v>45838</v>
      </c>
      <c r="D993" s="12">
        <v>617463</v>
      </c>
      <c r="E993" s="5" t="str">
        <f>_xlfn.XLOOKUP(D993,[1]!Tabela24[Código consultor],[1]!Tabela24[Consultor Venda],0,0,1)</f>
        <v>DIG - CCO - ALEX AUGUSTO DA CRUZ RODRIGUES</v>
      </c>
      <c r="F993" s="5" t="str">
        <f>_xlfn.XLOOKUP(D993,[1]!Tabela24[Código consultor],[1]!Tabela24[Canal Consultor],0,0,1)</f>
        <v>DIGITAL</v>
      </c>
      <c r="G993" s="10" t="str">
        <f>_xlfn.XLOOKUP(B993,[1]!Tabela1[[Cidades ]],[1]!Tabela1[Regional],0,0,1)</f>
        <v>Marcio</v>
      </c>
      <c r="H993" s="13" t="str">
        <f>_xlfn.XLOOKUP(B993,[1]!Tabela1[[Cidades ]],[1]!Tabela1[Gerente],0,0,1)</f>
        <v>Demais coordenadores</v>
      </c>
    </row>
    <row r="994" spans="1:8" x14ac:dyDescent="0.3">
      <c r="A994" s="4" t="s">
        <v>1216</v>
      </c>
      <c r="B994" s="5" t="s">
        <v>59</v>
      </c>
      <c r="C994" s="6">
        <v>45838</v>
      </c>
      <c r="D994" s="7">
        <v>235841</v>
      </c>
      <c r="E994" s="5" t="str">
        <f>_xlfn.XLOOKUP(D994,[1]!Tabela24[Código consultor],[1]!Tabela24[Consultor Venda],0,0,1)</f>
        <v>DIG - CCO - KAUANA BONI</v>
      </c>
      <c r="F994" s="5" t="str">
        <f>_xlfn.XLOOKUP(D994,[1]!Tabela24[Código consultor],[1]!Tabela24[Canal Consultor],0,0,1)</f>
        <v>DIGITAL</v>
      </c>
      <c r="G994" s="5" t="str">
        <f>_xlfn.XLOOKUP(B994,[1]!Tabela1[[Cidades ]],[1]!Tabela1[Regional],0,0,1)</f>
        <v>Adilson</v>
      </c>
      <c r="H994" s="8" t="str">
        <f>_xlfn.XLOOKUP(B994,[1]!Tabela1[[Cidades ]],[1]!Tabela1[Gerente],0,0,1)</f>
        <v>Demais coordenadores</v>
      </c>
    </row>
    <row r="995" spans="1:8" x14ac:dyDescent="0.3">
      <c r="A995" s="9" t="s">
        <v>1217</v>
      </c>
      <c r="B995" s="10" t="s">
        <v>28</v>
      </c>
      <c r="C995" s="11">
        <v>45838</v>
      </c>
      <c r="D995" s="12">
        <v>547683</v>
      </c>
      <c r="E995" s="5" t="str">
        <f>_xlfn.XLOOKUP(D995,[1]!Tabela24[Código consultor],[1]!Tabela24[Consultor Venda],0,0,1)</f>
        <v>COM - LJO - JOAO PAULO DA SILVA SANTOS</v>
      </c>
      <c r="F995" s="5" t="str">
        <f>_xlfn.XLOOKUP(D995,[1]!Tabela24[Código consultor],[1]!Tabela24[Canal Consultor],0,0,1)</f>
        <v>Pap</v>
      </c>
      <c r="G995" s="10" t="str">
        <f>_xlfn.XLOOKUP(B995,[1]!Tabela1[[Cidades ]],[1]!Tabela1[Regional],0,0,1)</f>
        <v>Magno</v>
      </c>
      <c r="H995" s="13" t="str">
        <f>_xlfn.XLOOKUP(B995,[1]!Tabela1[[Cidades ]],[1]!Tabela1[Gerente],0,0,1)</f>
        <v>Demais coordenadores</v>
      </c>
    </row>
    <row r="996" spans="1:8" x14ac:dyDescent="0.3">
      <c r="A996" s="4" t="s">
        <v>1218</v>
      </c>
      <c r="B996" s="5" t="s">
        <v>34</v>
      </c>
      <c r="C996" s="6">
        <v>45838</v>
      </c>
      <c r="D996" s="7">
        <v>680982</v>
      </c>
      <c r="E996" s="5" t="str">
        <f>_xlfn.XLOOKUP(D996,[1]!Tabela24[Código consultor],[1]!Tabela24[Consultor Venda],0,0,1)</f>
        <v>COM - ERE - JESSICA LAURA SOUZA</v>
      </c>
      <c r="F996" s="5" t="str">
        <f>_xlfn.XLOOKUP(D996,[1]!Tabela24[Código consultor],[1]!Tabela24[Canal Consultor],0,0,1)</f>
        <v>INTERNO</v>
      </c>
      <c r="G996" s="5" t="str">
        <f>_xlfn.XLOOKUP(B996,[1]!Tabela1[[Cidades ]],[1]!Tabela1[Regional],0,0,1)</f>
        <v>Alisson</v>
      </c>
      <c r="H996" s="8" t="str">
        <f>_xlfn.XLOOKUP(B996,[1]!Tabela1[[Cidades ]],[1]!Tabela1[Gerente],0,0,1)</f>
        <v>Karine</v>
      </c>
    </row>
    <row r="997" spans="1:8" x14ac:dyDescent="0.3">
      <c r="A997" s="9" t="s">
        <v>1219</v>
      </c>
      <c r="B997" s="10" t="s">
        <v>19</v>
      </c>
      <c r="C997" s="11">
        <v>45838</v>
      </c>
      <c r="D997" s="12">
        <v>165769</v>
      </c>
      <c r="E997" s="5" t="str">
        <f>_xlfn.XLOOKUP(D997,[1]!Tabela24[Código consultor],[1]!Tabela24[Consultor Venda],0,0,1)</f>
        <v>PAR - PAP - GTI - THALIA SP - THALIA DA SILVA PEREIRA</v>
      </c>
      <c r="F997" s="5" t="str">
        <f>_xlfn.XLOOKUP(D997,[1]!Tabela24[Código consultor],[1]!Tabela24[Canal Consultor],0,0,1)</f>
        <v>PAR</v>
      </c>
      <c r="G997" s="10" t="str">
        <f>_xlfn.XLOOKUP(B997,[1]!Tabela1[[Cidades ]],[1]!Tabela1[Regional],0,0,1)</f>
        <v>Magno</v>
      </c>
      <c r="H997" s="13" t="str">
        <f>_xlfn.XLOOKUP(B997,[1]!Tabela1[[Cidades ]],[1]!Tabela1[Gerente],0,0,1)</f>
        <v>Demais coordenadores</v>
      </c>
    </row>
    <row r="998" spans="1:8" x14ac:dyDescent="0.3">
      <c r="A998" s="4" t="s">
        <v>1220</v>
      </c>
      <c r="B998" s="5" t="s">
        <v>46</v>
      </c>
      <c r="C998" s="6">
        <v>45838</v>
      </c>
      <c r="D998" s="7">
        <v>873645</v>
      </c>
      <c r="E998" s="5" t="str">
        <f>_xlfn.XLOOKUP(D998,[1]!Tabela24[Código consultor],[1]!Tabela24[Consultor Venda],0,0,1)</f>
        <v>COM - BGV - SANIELI GUIMARAES PERES</v>
      </c>
      <c r="F998" s="5" t="str">
        <f>_xlfn.XLOOKUP(D998,[1]!Tabela24[Código consultor],[1]!Tabela24[Canal Consultor],0,0,1)</f>
        <v>Pap</v>
      </c>
      <c r="G998" s="5" t="str">
        <f>_xlfn.XLOOKUP(B998,[1]!Tabela1[[Cidades ]],[1]!Tabela1[Regional],0,0,1)</f>
        <v>Magno</v>
      </c>
      <c r="H998" s="8" t="str">
        <f>_xlfn.XLOOKUP(B998,[1]!Tabela1[[Cidades ]],[1]!Tabela1[Gerente],0,0,1)</f>
        <v>Demais coordenadores</v>
      </c>
    </row>
    <row r="999" spans="1:8" x14ac:dyDescent="0.3">
      <c r="A999" s="9" t="s">
        <v>1221</v>
      </c>
      <c r="B999" s="10" t="s">
        <v>26</v>
      </c>
      <c r="C999" s="11">
        <v>45838</v>
      </c>
      <c r="D999" s="12">
        <v>600710</v>
      </c>
      <c r="E999" s="5" t="str">
        <f>_xlfn.XLOOKUP(D999,[1]!Tabela24[Código consultor],[1]!Tabela24[Consultor Venda],0,0,1)</f>
        <v>DIG - CCO - BRUNA BALBINOTTI</v>
      </c>
      <c r="F999" s="5" t="str">
        <f>_xlfn.XLOOKUP(D999,[1]!Tabela24[Código consultor],[1]!Tabela24[Canal Consultor],0,0,1)</f>
        <v>DIGITAL</v>
      </c>
      <c r="G999" s="10" t="str">
        <f>_xlfn.XLOOKUP(B999,[1]!Tabela1[[Cidades ]],[1]!Tabela1[Regional],0,0,1)</f>
        <v>Magno</v>
      </c>
      <c r="H999" s="13" t="str">
        <f>_xlfn.XLOOKUP(B999,[1]!Tabela1[[Cidades ]],[1]!Tabela1[Gerente],0,0,1)</f>
        <v>Demais coordenadores</v>
      </c>
    </row>
    <row r="1000" spans="1:8" x14ac:dyDescent="0.3">
      <c r="A1000" s="4" t="s">
        <v>1222</v>
      </c>
      <c r="B1000" s="5" t="s">
        <v>41</v>
      </c>
      <c r="C1000" s="6">
        <v>45838</v>
      </c>
      <c r="D1000" s="7">
        <v>617463</v>
      </c>
      <c r="E1000" s="5" t="str">
        <f>_xlfn.XLOOKUP(D1000,[1]!Tabela24[Código consultor],[1]!Tabela24[Consultor Venda],0,0,1)</f>
        <v>DIG - CCO - ALEX AUGUSTO DA CRUZ RODRIGUES</v>
      </c>
      <c r="F1000" s="5" t="str">
        <f>_xlfn.XLOOKUP(D1000,[1]!Tabela24[Código consultor],[1]!Tabela24[Canal Consultor],0,0,1)</f>
        <v>DIGITAL</v>
      </c>
      <c r="G1000" s="5" t="str">
        <f>_xlfn.XLOOKUP(B1000,[1]!Tabela1[[Cidades ]],[1]!Tabela1[Regional],0,0,1)</f>
        <v>Maycon</v>
      </c>
      <c r="H1000" s="8" t="str">
        <f>_xlfn.XLOOKUP(B1000,[1]!Tabela1[[Cidades ]],[1]!Tabela1[Gerente],0,0,1)</f>
        <v>Demais coordenadores</v>
      </c>
    </row>
    <row r="1001" spans="1:8" x14ac:dyDescent="0.3">
      <c r="A1001" s="9" t="s">
        <v>1223</v>
      </c>
      <c r="B1001" s="10" t="s">
        <v>24</v>
      </c>
      <c r="C1001" s="11">
        <v>45838</v>
      </c>
      <c r="D1001" s="12">
        <v>788656</v>
      </c>
      <c r="E1001" s="5" t="str">
        <f>_xlfn.XLOOKUP(D1001,[1]!Tabela24[Código consultor],[1]!Tabela24[Consultor Venda],0,0,1)</f>
        <v>PAR - STB - PAP - JOY TELECOM - GABRIELA ALVES DE GODOY</v>
      </c>
      <c r="F1001" s="5" t="str">
        <f>_xlfn.XLOOKUP(D1001,[1]!Tabela24[Código consultor],[1]!Tabela24[Canal Consultor],0,0,1)</f>
        <v>PAR_DIG</v>
      </c>
      <c r="G1001" s="10" t="str">
        <f>_xlfn.XLOOKUP(B1001,[1]!Tabela1[[Cidades ]],[1]!Tabela1[Regional],0,0,1)</f>
        <v>Magno</v>
      </c>
      <c r="H1001" s="13" t="str">
        <f>_xlfn.XLOOKUP(B1001,[1]!Tabela1[[Cidades ]],[1]!Tabela1[Gerente],0,0,1)</f>
        <v>Demais coordenadores</v>
      </c>
    </row>
    <row r="1002" spans="1:8" x14ac:dyDescent="0.3">
      <c r="A1002" s="4" t="s">
        <v>1225</v>
      </c>
      <c r="B1002" s="5" t="s">
        <v>23</v>
      </c>
      <c r="C1002" s="6">
        <v>45838</v>
      </c>
      <c r="D1002" s="7">
        <v>876162</v>
      </c>
      <c r="E1002" s="5" t="str">
        <f>_xlfn.XLOOKUP(D1002,[1]!Tabela24[Código consultor],[1]!Tabela24[Consultor Venda],0,0,1)</f>
        <v>COM - CAN - PAULA VITORIA ELIAS VIEIRA</v>
      </c>
      <c r="F1002" s="5" t="str">
        <f>_xlfn.XLOOKUP(D1002,[1]!Tabela24[Código consultor],[1]!Tabela24[Canal Consultor],0,0,1)</f>
        <v>Pap</v>
      </c>
      <c r="G1002" s="5" t="str">
        <f>_xlfn.XLOOKUP(B1002,[1]!Tabela1[[Cidades ]],[1]!Tabela1[Regional],0,0,1)</f>
        <v>Magno</v>
      </c>
      <c r="H1002" s="8" t="str">
        <f>_xlfn.XLOOKUP(B1002,[1]!Tabela1[[Cidades ]],[1]!Tabela1[Gerente],0,0,1)</f>
        <v>Demais coordenadores</v>
      </c>
    </row>
    <row r="1003" spans="1:8" x14ac:dyDescent="0.3">
      <c r="A1003" s="9" t="s">
        <v>1227</v>
      </c>
      <c r="B1003" s="10" t="s">
        <v>37</v>
      </c>
      <c r="C1003" s="11">
        <v>45838</v>
      </c>
      <c r="D1003" s="12">
        <v>886641</v>
      </c>
      <c r="E1003" s="5" t="str">
        <f>_xlfn.XLOOKUP(D1003,[1]!Tabela24[Código consultor],[1]!Tabela24[Consultor Venda],0,0,1)</f>
        <v>COM - SOC - RAPHAEL VITORINO RIBEIRO</v>
      </c>
      <c r="F1003" s="5" t="str">
        <f>_xlfn.XLOOKUP(D1003,[1]!Tabela24[Código consultor],[1]!Tabela24[Canal Consultor],0,0,1)</f>
        <v>Pap</v>
      </c>
      <c r="G1003" s="10" t="str">
        <f>_xlfn.XLOOKUP(B1003,[1]!Tabela1[[Cidades ]],[1]!Tabela1[Regional],0,0,1)</f>
        <v>Jean</v>
      </c>
      <c r="H1003" s="13" t="str">
        <f>_xlfn.XLOOKUP(B1003,[1]!Tabela1[[Cidades ]],[1]!Tabela1[Gerente],0,0,1)</f>
        <v>Demais coordenadores</v>
      </c>
    </row>
    <row r="1004" spans="1:8" x14ac:dyDescent="0.3">
      <c r="A1004" s="4" t="s">
        <v>1232</v>
      </c>
      <c r="B1004" s="5" t="s">
        <v>41</v>
      </c>
      <c r="C1004" s="6">
        <v>45838</v>
      </c>
      <c r="D1004" s="7">
        <v>837970</v>
      </c>
      <c r="E1004" s="5" t="str">
        <f>_xlfn.XLOOKUP(D1004,[1]!Tabela24[Código consultor],[1]!Tabela24[Consultor Venda],0,0,1)</f>
        <v>COM - CLD - SUELEN STETST DOS SANTOS</v>
      </c>
      <c r="F1004" s="5" t="str">
        <f>_xlfn.XLOOKUP(D1004,[1]!Tabela24[Código consultor],[1]!Tabela24[Canal Consultor],0,0,1)</f>
        <v>INTERNO</v>
      </c>
      <c r="G1004" s="5" t="str">
        <f>_xlfn.XLOOKUP(B1004,[1]!Tabela1[[Cidades ]],[1]!Tabela1[Regional],0,0,1)</f>
        <v>Maycon</v>
      </c>
      <c r="H1004" s="8" t="str">
        <f>_xlfn.XLOOKUP(B1004,[1]!Tabela1[[Cidades ]],[1]!Tabela1[Gerente],0,0,1)</f>
        <v>Demais coordenadores</v>
      </c>
    </row>
    <row r="1005" spans="1:8" x14ac:dyDescent="0.3">
      <c r="A1005" s="9" t="s">
        <v>1234</v>
      </c>
      <c r="B1005" s="10" t="s">
        <v>42</v>
      </c>
      <c r="C1005" s="11">
        <v>45838</v>
      </c>
      <c r="D1005" s="12">
        <v>600710</v>
      </c>
      <c r="E1005" s="5" t="str">
        <f>_xlfn.XLOOKUP(D1005,[1]!Tabela24[Código consultor],[1]!Tabela24[Consultor Venda],0,0,1)</f>
        <v>DIG - CCO - BRUNA BALBINOTTI</v>
      </c>
      <c r="F1005" s="5" t="str">
        <f>_xlfn.XLOOKUP(D1005,[1]!Tabela24[Código consultor],[1]!Tabela24[Canal Consultor],0,0,1)</f>
        <v>DIGITAL</v>
      </c>
      <c r="G1005" s="10" t="str">
        <f>_xlfn.XLOOKUP(B1005,[1]!Tabela1[[Cidades ]],[1]!Tabela1[Regional],0,0,1)</f>
        <v>Maycon</v>
      </c>
      <c r="H1005" s="13" t="str">
        <f>_xlfn.XLOOKUP(B1005,[1]!Tabela1[[Cidades ]],[1]!Tabela1[Gerente],0,0,1)</f>
        <v>Demais coordenadores</v>
      </c>
    </row>
    <row r="1006" spans="1:8" x14ac:dyDescent="0.3">
      <c r="A1006" s="4" t="s">
        <v>1236</v>
      </c>
      <c r="B1006" s="5" t="s">
        <v>19</v>
      </c>
      <c r="C1006" s="6">
        <v>45838</v>
      </c>
      <c r="D1006" s="7">
        <v>794227</v>
      </c>
      <c r="E1006" s="5" t="str">
        <f>_xlfn.XLOOKUP(D1006,[1]!Tabela24[Código consultor],[1]!Tabela24[Consultor Venda],0,0,1)</f>
        <v>PAR - PAP - TECH PERFORMANCE - Dario de Oliveira</v>
      </c>
      <c r="F1006" s="5" t="str">
        <f>_xlfn.XLOOKUP(D1006,[1]!Tabela24[Código consultor],[1]!Tabela24[Canal Consultor],0,0,1)</f>
        <v>Par</v>
      </c>
      <c r="G1006" s="5" t="str">
        <f>_xlfn.XLOOKUP(B1006,[1]!Tabela1[[Cidades ]],[1]!Tabela1[Regional],0,0,1)</f>
        <v>Magno</v>
      </c>
      <c r="H1006" s="8" t="str">
        <f>_xlfn.XLOOKUP(B1006,[1]!Tabela1[[Cidades ]],[1]!Tabela1[Gerente],0,0,1)</f>
        <v>Demais coordenadores</v>
      </c>
    </row>
    <row r="1007" spans="1:8" x14ac:dyDescent="0.3">
      <c r="A1007" s="9" t="s">
        <v>1237</v>
      </c>
      <c r="B1007" s="10" t="s">
        <v>80</v>
      </c>
      <c r="C1007" s="11">
        <v>45838</v>
      </c>
      <c r="D1007" s="12">
        <v>680982</v>
      </c>
      <c r="E1007" s="5" t="str">
        <f>_xlfn.XLOOKUP(D1007,[1]!Tabela24[Código consultor],[1]!Tabela24[Consultor Venda],0,0,1)</f>
        <v>COM - ERE - JESSICA LAURA SOUZA</v>
      </c>
      <c r="F1007" s="5" t="str">
        <f>_xlfn.XLOOKUP(D1007,[1]!Tabela24[Código consultor],[1]!Tabela24[Canal Consultor],0,0,1)</f>
        <v>INTERNO</v>
      </c>
      <c r="G1007" s="10" t="str">
        <f>_xlfn.XLOOKUP(B1007,[1]!Tabela1[[Cidades ]],[1]!Tabela1[Regional],0,0,1)</f>
        <v>Alisson</v>
      </c>
      <c r="H1007" s="13" t="str">
        <f>_xlfn.XLOOKUP(B1007,[1]!Tabela1[[Cidades ]],[1]!Tabela1[Gerente],0,0,1)</f>
        <v>Karine</v>
      </c>
    </row>
    <row r="1008" spans="1:8" x14ac:dyDescent="0.3">
      <c r="A1008" s="4" t="s">
        <v>1243</v>
      </c>
      <c r="B1008" s="5" t="s">
        <v>23</v>
      </c>
      <c r="C1008" s="6">
        <v>45838</v>
      </c>
      <c r="D1008" s="7">
        <v>827985</v>
      </c>
      <c r="E1008" s="5" t="str">
        <f>_xlfn.XLOOKUP(D1008,[1]!Tabela24[Código consultor],[1]!Tabela24[Consultor Venda],0,0,1)</f>
        <v>COM - GTI - KELLEN SANTOS IOHANN</v>
      </c>
      <c r="F1008" s="5" t="str">
        <f>_xlfn.XLOOKUP(D1008,[1]!Tabela24[Código consultor],[1]!Tabela24[Canal Consultor],0,0,1)</f>
        <v>Pap</v>
      </c>
      <c r="G1008" s="5" t="str">
        <f>_xlfn.XLOOKUP(B1008,[1]!Tabela1[[Cidades ]],[1]!Tabela1[Regional],0,0,1)</f>
        <v>Magno</v>
      </c>
      <c r="H1008" s="8" t="str">
        <f>_xlfn.XLOOKUP(B1008,[1]!Tabela1[[Cidades ]],[1]!Tabela1[Gerente],0,0,1)</f>
        <v>Demais coordenadores</v>
      </c>
    </row>
    <row r="1009" spans="1:8" x14ac:dyDescent="0.3">
      <c r="A1009" s="9" t="s">
        <v>1099</v>
      </c>
      <c r="B1009" s="10" t="s">
        <v>31</v>
      </c>
      <c r="C1009" s="11">
        <v>45838</v>
      </c>
      <c r="D1009" s="12">
        <v>382096</v>
      </c>
      <c r="E1009" s="5" t="str">
        <f>_xlfn.XLOOKUP(D1009,[1]!Tabela24[Código consultor],[1]!Tabela24[Consultor Venda],0,0,1)</f>
        <v>COM - CCO - VILSO ROBAL DOS SANTOS</v>
      </c>
      <c r="F1009" s="5" t="str">
        <f>_xlfn.XLOOKUP(D1009,[1]!Tabela24[Código consultor],[1]!Tabela24[Canal Consultor],0,0,1)</f>
        <v>INTERNO</v>
      </c>
      <c r="G1009" s="10" t="str">
        <f>_xlfn.XLOOKUP(B1009,[1]!Tabela1[[Cidades ]],[1]!Tabela1[Regional],0,0,1)</f>
        <v>Maycon</v>
      </c>
      <c r="H1009" s="13" t="str">
        <f>_xlfn.XLOOKUP(B1009,[1]!Tabela1[[Cidades ]],[1]!Tabela1[Gerente],0,0,1)</f>
        <v>Demais coordenadores</v>
      </c>
    </row>
    <row r="1010" spans="1:8" x14ac:dyDescent="0.3">
      <c r="A1010" s="4" t="s">
        <v>1244</v>
      </c>
      <c r="B1010" s="5" t="s">
        <v>11</v>
      </c>
      <c r="C1010" s="6">
        <v>45838</v>
      </c>
      <c r="D1010" s="7">
        <v>788656</v>
      </c>
      <c r="E1010" s="5" t="str">
        <f>_xlfn.XLOOKUP(D1010,[1]!Tabela24[Código consultor],[1]!Tabela24[Consultor Venda],0,0,1)</f>
        <v>PAR - STB - PAP - JOY TELECOM - GABRIELA ALVES DE GODOY</v>
      </c>
      <c r="F1010" s="5" t="str">
        <f>_xlfn.XLOOKUP(D1010,[1]!Tabela24[Código consultor],[1]!Tabela24[Canal Consultor],0,0,1)</f>
        <v>PAR_DIG</v>
      </c>
      <c r="G1010" s="5" t="str">
        <f>_xlfn.XLOOKUP(B1010,[1]!Tabela1[[Cidades ]],[1]!Tabela1[Regional],0,0,1)</f>
        <v>Magno</v>
      </c>
      <c r="H1010" s="8" t="str">
        <f>_xlfn.XLOOKUP(B1010,[1]!Tabela1[[Cidades ]],[1]!Tabela1[Gerente],0,0,1)</f>
        <v>Demais coordenadores</v>
      </c>
    </row>
    <row r="1011" spans="1:8" x14ac:dyDescent="0.3">
      <c r="A1011" s="9" t="s">
        <v>1245</v>
      </c>
      <c r="B1011" s="10" t="s">
        <v>76</v>
      </c>
      <c r="C1011" s="11">
        <v>45838</v>
      </c>
      <c r="D1011" s="12">
        <v>870268</v>
      </c>
      <c r="E1011" s="5" t="str">
        <f>_xlfn.XLOOKUP(D1011,[1]!Tabela24[Código consultor],[1]!Tabela24[Consultor Venda],0,0,1)</f>
        <v>COM - CIO - VITORIA LUIZA ALVES PEREIRA DA CRUZ</v>
      </c>
      <c r="F1011" s="5" t="str">
        <f>_xlfn.XLOOKUP(D1011,[1]!Tabela24[Código consultor],[1]!Tabela24[Canal Consultor],0,0,1)</f>
        <v>INTERNO</v>
      </c>
      <c r="G1011" s="10" t="str">
        <f>_xlfn.XLOOKUP(B1011,[1]!Tabela1[[Cidades ]],[1]!Tabela1[Regional],0,0,1)</f>
        <v>Alisson</v>
      </c>
      <c r="H1011" s="13" t="str">
        <f>_xlfn.XLOOKUP(B1011,[1]!Tabela1[[Cidades ]],[1]!Tabela1[Gerente],0,0,1)</f>
        <v>Helena</v>
      </c>
    </row>
    <row r="1012" spans="1:8" x14ac:dyDescent="0.3">
      <c r="A1012" s="4" t="s">
        <v>1246</v>
      </c>
      <c r="B1012" s="5" t="s">
        <v>27</v>
      </c>
      <c r="C1012" s="6">
        <v>45838</v>
      </c>
      <c r="D1012" s="7">
        <v>405</v>
      </c>
      <c r="E1012" s="5" t="str">
        <f>_xlfn.XLOOKUP(D1012,[1]!Tabela24[Código consultor],[1]!Tabela24[Consultor Venda],0,0,1)</f>
        <v>COM - VAA - GREICE BOEIRA DA SILVA</v>
      </c>
      <c r="F1012" s="5" t="str">
        <f>_xlfn.XLOOKUP(D1012,[1]!Tabela24[Código consultor],[1]!Tabela24[Canal Consultor],0,0,1)</f>
        <v>INTERNO</v>
      </c>
      <c r="G1012" s="5" t="str">
        <f>_xlfn.XLOOKUP(B1012,[1]!Tabela1[[Cidades ]],[1]!Tabela1[Regional],0,0,1)</f>
        <v>Alisson</v>
      </c>
      <c r="H1012" s="8" t="str">
        <f>_xlfn.XLOOKUP(B1012,[1]!Tabela1[[Cidades ]],[1]!Tabela1[Gerente],0,0,1)</f>
        <v>Tatiane</v>
      </c>
    </row>
    <row r="1013" spans="1:8" x14ac:dyDescent="0.3">
      <c r="A1013" s="9" t="s">
        <v>157</v>
      </c>
      <c r="B1013" s="10" t="s">
        <v>27</v>
      </c>
      <c r="C1013" s="11">
        <v>45838</v>
      </c>
      <c r="D1013" s="12">
        <v>683349</v>
      </c>
      <c r="E1013" s="5" t="str">
        <f>_xlfn.XLOOKUP(D1013,[1]!Tabela24[Código consultor],[1]!Tabela24[Consultor Venda],0,0,1)</f>
        <v>DIG - CCO - EVELLIN SALOA MAIA DA CONCEICAO</v>
      </c>
      <c r="F1013" s="5" t="str">
        <f>_xlfn.XLOOKUP(D1013,[1]!Tabela24[Código consultor],[1]!Tabela24[Canal Consultor],0,0,1)</f>
        <v>DIGITAL</v>
      </c>
      <c r="G1013" s="10" t="str">
        <f>_xlfn.XLOOKUP(B1013,[1]!Tabela1[[Cidades ]],[1]!Tabela1[Regional],0,0,1)</f>
        <v>Alisson</v>
      </c>
      <c r="H1013" s="13" t="str">
        <f>_xlfn.XLOOKUP(B1013,[1]!Tabela1[[Cidades ]],[1]!Tabela1[Gerente],0,0,1)</f>
        <v>Tatiane</v>
      </c>
    </row>
    <row r="1014" spans="1:8" x14ac:dyDescent="0.3">
      <c r="A1014" s="4" t="s">
        <v>1247</v>
      </c>
      <c r="B1014" s="5" t="s">
        <v>31</v>
      </c>
      <c r="C1014" s="6">
        <v>45838</v>
      </c>
      <c r="D1014" s="7">
        <v>683349</v>
      </c>
      <c r="E1014" s="5" t="str">
        <f>_xlfn.XLOOKUP(D1014,[1]!Tabela24[Código consultor],[1]!Tabela24[Consultor Venda],0,0,1)</f>
        <v>DIG - CCO - EVELLIN SALOA MAIA DA CONCEICAO</v>
      </c>
      <c r="F1014" s="5" t="str">
        <f>_xlfn.XLOOKUP(D1014,[1]!Tabela24[Código consultor],[1]!Tabela24[Canal Consultor],0,0,1)</f>
        <v>DIGITAL</v>
      </c>
      <c r="G1014" s="5" t="str">
        <f>_xlfn.XLOOKUP(B1014,[1]!Tabela1[[Cidades ]],[1]!Tabela1[Regional],0,0,1)</f>
        <v>Maycon</v>
      </c>
      <c r="H1014" s="8" t="str">
        <f>_xlfn.XLOOKUP(B1014,[1]!Tabela1[[Cidades ]],[1]!Tabela1[Gerente],0,0,1)</f>
        <v>Demais coordenadores</v>
      </c>
    </row>
    <row r="1015" spans="1:8" x14ac:dyDescent="0.3">
      <c r="A1015" s="9" t="s">
        <v>1103</v>
      </c>
      <c r="B1015" s="10" t="s">
        <v>76</v>
      </c>
      <c r="C1015" s="11">
        <v>45838</v>
      </c>
      <c r="D1015" s="12">
        <v>870268</v>
      </c>
      <c r="E1015" s="5" t="str">
        <f>_xlfn.XLOOKUP(D1015,[1]!Tabela24[Código consultor],[1]!Tabela24[Consultor Venda],0,0,1)</f>
        <v>COM - CIO - VITORIA LUIZA ALVES PEREIRA DA CRUZ</v>
      </c>
      <c r="F1015" s="5" t="str">
        <f>_xlfn.XLOOKUP(D1015,[1]!Tabela24[Código consultor],[1]!Tabela24[Canal Consultor],0,0,1)</f>
        <v>INTERNO</v>
      </c>
      <c r="G1015" s="10" t="str">
        <f>_xlfn.XLOOKUP(B1015,[1]!Tabela1[[Cidades ]],[1]!Tabela1[Regional],0,0,1)</f>
        <v>Alisson</v>
      </c>
      <c r="H1015" s="13" t="str">
        <f>_xlfn.XLOOKUP(B1015,[1]!Tabela1[[Cidades ]],[1]!Tabela1[Gerente],0,0,1)</f>
        <v>Helena</v>
      </c>
    </row>
    <row r="1016" spans="1:8" x14ac:dyDescent="0.3">
      <c r="A1016" s="4" t="s">
        <v>1248</v>
      </c>
      <c r="B1016" s="5" t="s">
        <v>111</v>
      </c>
      <c r="C1016" s="6">
        <v>45838</v>
      </c>
      <c r="D1016" s="7">
        <v>255780</v>
      </c>
      <c r="E1016" s="5" t="str">
        <f>_xlfn.XLOOKUP(D1016,[1]!Tabela24[Código consultor],[1]!Tabela24[Consultor Venda],0,0,1)</f>
        <v>COM - PZO - MAIKELI CRISTINA MANFRIN</v>
      </c>
      <c r="F1016" s="5" t="str">
        <f>_xlfn.XLOOKUP(D1016,[1]!Tabela24[Código consultor],[1]!Tabela24[Canal Consultor],0,0,1)</f>
        <v>INTERNO</v>
      </c>
      <c r="G1016" s="5" t="str">
        <f>_xlfn.XLOOKUP(B1016,[1]!Tabela1[[Cidades ]],[1]!Tabela1[Regional],0,0,1)</f>
        <v>Maycon</v>
      </c>
      <c r="H1016" s="8" t="str">
        <f>_xlfn.XLOOKUP(B1016,[1]!Tabela1[[Cidades ]],[1]!Tabela1[Gerente],0,0,1)</f>
        <v>Demais coordenadores</v>
      </c>
    </row>
    <row r="1017" spans="1:8" x14ac:dyDescent="0.3">
      <c r="A1017" s="9" t="s">
        <v>1249</v>
      </c>
      <c r="B1017" s="10" t="s">
        <v>31</v>
      </c>
      <c r="C1017" s="11">
        <v>45838</v>
      </c>
      <c r="D1017" s="12">
        <v>827465</v>
      </c>
      <c r="E1017" s="5" t="str">
        <f>_xlfn.XLOOKUP(D1017,[1]!Tabela24[Código consultor],[1]!Tabela24[Consultor Venda],0,0,1)</f>
        <v>DIG - ATV - TAINARA RODRIGUES CORDEIRO</v>
      </c>
      <c r="F1017" s="5" t="str">
        <f>_xlfn.XLOOKUP(D1017,[1]!Tabela24[Código consultor],[1]!Tabela24[Canal Consultor],0,0,1)</f>
        <v>Televendas Ativo</v>
      </c>
      <c r="G1017" s="10" t="str">
        <f>_xlfn.XLOOKUP(B1017,[1]!Tabela1[[Cidades ]],[1]!Tabela1[Regional],0,0,1)</f>
        <v>Maycon</v>
      </c>
      <c r="H1017" s="13" t="str">
        <f>_xlfn.XLOOKUP(B1017,[1]!Tabela1[[Cidades ]],[1]!Tabela1[Gerente],0,0,1)</f>
        <v>Demais coordenadores</v>
      </c>
    </row>
    <row r="1018" spans="1:8" x14ac:dyDescent="0.3">
      <c r="A1018" s="4" t="s">
        <v>1250</v>
      </c>
      <c r="B1018" s="5" t="s">
        <v>31</v>
      </c>
      <c r="C1018" s="6">
        <v>45838</v>
      </c>
      <c r="D1018" s="7">
        <v>666428</v>
      </c>
      <c r="E1018" s="5" t="str">
        <f>_xlfn.XLOOKUP(D1018,[1]!Tabela24[Código consultor],[1]!Tabela24[Consultor Venda],0,0,1)</f>
        <v>COM - CCO - ALESANDRA FRANCA CAMINERO</v>
      </c>
      <c r="F1018" s="5" t="str">
        <f>_xlfn.XLOOKUP(D1018,[1]!Tabela24[Código consultor],[1]!Tabela24[Canal Consultor],0,0,1)</f>
        <v>INTERNO</v>
      </c>
      <c r="G1018" s="5" t="str">
        <f>_xlfn.XLOOKUP(B1018,[1]!Tabela1[[Cidades ]],[1]!Tabela1[Regional],0,0,1)</f>
        <v>Maycon</v>
      </c>
      <c r="H1018" s="8" t="str">
        <f>_xlfn.XLOOKUP(B1018,[1]!Tabela1[[Cidades ]],[1]!Tabela1[Gerente],0,0,1)</f>
        <v>Demais coordenadores</v>
      </c>
    </row>
    <row r="1019" spans="1:8" x14ac:dyDescent="0.3">
      <c r="A1019" s="9" t="s">
        <v>1251</v>
      </c>
      <c r="B1019" s="10" t="s">
        <v>70</v>
      </c>
      <c r="C1019" s="11">
        <v>45838</v>
      </c>
      <c r="D1019" s="12">
        <v>683349</v>
      </c>
      <c r="E1019" s="5" t="str">
        <f>_xlfn.XLOOKUP(D1019,[1]!Tabela24[Código consultor],[1]!Tabela24[Consultor Venda],0,0,1)</f>
        <v>DIG - CCO - EVELLIN SALOA MAIA DA CONCEICAO</v>
      </c>
      <c r="F1019" s="5" t="str">
        <f>_xlfn.XLOOKUP(D1019,[1]!Tabela24[Código consultor],[1]!Tabela24[Canal Consultor],0,0,1)</f>
        <v>DIGITAL</v>
      </c>
      <c r="G1019" s="10" t="str">
        <f>_xlfn.XLOOKUP(B1019,[1]!Tabela1[[Cidades ]],[1]!Tabela1[Regional],0,0,1)</f>
        <v>Alisson</v>
      </c>
      <c r="H1019" s="13" t="str">
        <f>_xlfn.XLOOKUP(B1019,[1]!Tabela1[[Cidades ]],[1]!Tabela1[Gerente],0,0,1)</f>
        <v>Ariana</v>
      </c>
    </row>
    <row r="1020" spans="1:8" x14ac:dyDescent="0.3">
      <c r="A1020" s="4" t="s">
        <v>141</v>
      </c>
      <c r="B1020" s="5" t="s">
        <v>31</v>
      </c>
      <c r="C1020" s="6">
        <v>45838</v>
      </c>
      <c r="D1020" s="7">
        <v>683349</v>
      </c>
      <c r="E1020" s="5" t="str">
        <f>_xlfn.XLOOKUP(D1020,[1]!Tabela24[Código consultor],[1]!Tabela24[Consultor Venda],0,0,1)</f>
        <v>DIG - CCO - EVELLIN SALOA MAIA DA CONCEICAO</v>
      </c>
      <c r="F1020" s="5" t="str">
        <f>_xlfn.XLOOKUP(D1020,[1]!Tabela24[Código consultor],[1]!Tabela24[Canal Consultor],0,0,1)</f>
        <v>DIGITAL</v>
      </c>
      <c r="G1020" s="5" t="str">
        <f>_xlfn.XLOOKUP(B1020,[1]!Tabela1[[Cidades ]],[1]!Tabela1[Regional],0,0,1)</f>
        <v>Maycon</v>
      </c>
      <c r="H1020" s="8" t="str">
        <f>_xlfn.XLOOKUP(B1020,[1]!Tabela1[[Cidades ]],[1]!Tabela1[Gerente],0,0,1)</f>
        <v>Demais coordenadores</v>
      </c>
    </row>
    <row r="1021" spans="1:8" x14ac:dyDescent="0.3">
      <c r="A1021" s="9" t="s">
        <v>1252</v>
      </c>
      <c r="B1021" s="10" t="s">
        <v>103</v>
      </c>
      <c r="C1021" s="11">
        <v>45838</v>
      </c>
      <c r="D1021" s="12">
        <v>235841</v>
      </c>
      <c r="E1021" s="5" t="str">
        <f>_xlfn.XLOOKUP(D1021,[1]!Tabela24[Código consultor],[1]!Tabela24[Consultor Venda],0,0,1)</f>
        <v>DIG - CCO - KAUANA BONI</v>
      </c>
      <c r="F1021" s="5" t="str">
        <f>_xlfn.XLOOKUP(D1021,[1]!Tabela24[Código consultor],[1]!Tabela24[Canal Consultor],0,0,1)</f>
        <v>DIGITAL</v>
      </c>
      <c r="G1021" s="10" t="str">
        <f>_xlfn.XLOOKUP(B1021,[1]!Tabela1[[Cidades ]],[1]!Tabela1[Regional],0,0,1)</f>
        <v>Alisson</v>
      </c>
      <c r="H1021" s="13" t="str">
        <f>_xlfn.XLOOKUP(B1021,[1]!Tabela1[[Cidades ]],[1]!Tabela1[Gerente],0,0,1)</f>
        <v>Karine</v>
      </c>
    </row>
    <row r="1022" spans="1:8" x14ac:dyDescent="0.3">
      <c r="A1022" s="4" t="s">
        <v>1107</v>
      </c>
      <c r="B1022" s="5" t="s">
        <v>28</v>
      </c>
      <c r="C1022" s="6">
        <v>45838</v>
      </c>
      <c r="D1022" s="7">
        <v>237623</v>
      </c>
      <c r="E1022" s="5" t="str">
        <f>_xlfn.XLOOKUP(D1022,[1]!Tabela24[Código consultor],[1]!Tabela24[Consultor Venda],0,0,1)</f>
        <v>COM - LJO - VITORIA CAROLINE BALDEZ ROSSALES</v>
      </c>
      <c r="F1022" s="5" t="str">
        <f>_xlfn.XLOOKUP(D1022,[1]!Tabela24[Código consultor],[1]!Tabela24[Canal Consultor],0,0,1)</f>
        <v>Pap</v>
      </c>
      <c r="G1022" s="5" t="str">
        <f>_xlfn.XLOOKUP(B1022,[1]!Tabela1[[Cidades ]],[1]!Tabela1[Regional],0,0,1)</f>
        <v>Magno</v>
      </c>
      <c r="H1022" s="8" t="str">
        <f>_xlfn.XLOOKUP(B1022,[1]!Tabela1[[Cidades ]],[1]!Tabela1[Gerente],0,0,1)</f>
        <v>Demais coordenadores</v>
      </c>
    </row>
    <row r="1023" spans="1:8" x14ac:dyDescent="0.3">
      <c r="A1023" s="9" t="s">
        <v>1253</v>
      </c>
      <c r="B1023" s="10" t="s">
        <v>31</v>
      </c>
      <c r="C1023" s="11">
        <v>45838</v>
      </c>
      <c r="D1023" s="12">
        <v>600710</v>
      </c>
      <c r="E1023" s="5" t="str">
        <f>_xlfn.XLOOKUP(D1023,[1]!Tabela24[Código consultor],[1]!Tabela24[Consultor Venda],0,0,1)</f>
        <v>DIG - CCO - BRUNA BALBINOTTI</v>
      </c>
      <c r="F1023" s="5" t="str">
        <f>_xlfn.XLOOKUP(D1023,[1]!Tabela24[Código consultor],[1]!Tabela24[Canal Consultor],0,0,1)</f>
        <v>DIGITAL</v>
      </c>
      <c r="G1023" s="10" t="str">
        <f>_xlfn.XLOOKUP(B1023,[1]!Tabela1[[Cidades ]],[1]!Tabela1[Regional],0,0,1)</f>
        <v>Maycon</v>
      </c>
      <c r="H1023" s="13" t="str">
        <f>_xlfn.XLOOKUP(B1023,[1]!Tabela1[[Cidades ]],[1]!Tabela1[Gerente],0,0,1)</f>
        <v>Demais coordenadores</v>
      </c>
    </row>
    <row r="1024" spans="1:8" x14ac:dyDescent="0.3">
      <c r="A1024" s="4" t="s">
        <v>1254</v>
      </c>
      <c r="B1024" s="5" t="s">
        <v>77</v>
      </c>
      <c r="C1024" s="6">
        <v>45838</v>
      </c>
      <c r="D1024" s="7">
        <v>127424</v>
      </c>
      <c r="E1024" s="5" t="str">
        <f>_xlfn.XLOOKUP(D1024,[1]!Tabela24[Código consultor],[1]!Tabela24[Consultor Venda],0,0,1)</f>
        <v>PAR - COM - BSL - VGI TELECOMUNICAÇÕES - CRISTIANE F VARGAS</v>
      </c>
      <c r="F1024" s="5" t="str">
        <f>_xlfn.XLOOKUP(D1024,[1]!Tabela24[Código consultor],[1]!Tabela24[Canal Consultor],0,0,1)</f>
        <v>PAR</v>
      </c>
      <c r="G1024" s="5" t="str">
        <f>_xlfn.XLOOKUP(B1024,[1]!Tabela1[[Cidades ]],[1]!Tabela1[Regional],0,0,1)</f>
        <v>Alisson</v>
      </c>
      <c r="H1024" s="8" t="str">
        <f>_xlfn.XLOOKUP(B1024,[1]!Tabela1[[Cidades ]],[1]!Tabela1[Gerente],0,0,1)</f>
        <v>Ariana</v>
      </c>
    </row>
    <row r="1025" spans="1:8" x14ac:dyDescent="0.3">
      <c r="A1025" s="9" t="s">
        <v>1255</v>
      </c>
      <c r="B1025" s="10" t="s">
        <v>62</v>
      </c>
      <c r="C1025" s="11">
        <v>45838</v>
      </c>
      <c r="D1025" s="12">
        <v>810976</v>
      </c>
      <c r="E1025" s="5" t="str">
        <f>_xlfn.XLOOKUP(D1025,[1]!Tabela24[Código consultor],[1]!Tabela24[Consultor Venda],0,0,1)</f>
        <v>COM - TOO - TATIELLY DA COSTA SOARES</v>
      </c>
      <c r="F1025" s="5" t="str">
        <f>_xlfn.XLOOKUP(D1025,[1]!Tabela24[Código consultor],[1]!Tabela24[Canal Consultor],0,0,1)</f>
        <v>INTERNO</v>
      </c>
      <c r="G1025" s="10" t="str">
        <f>_xlfn.XLOOKUP(B1025,[1]!Tabela1[[Cidades ]],[1]!Tabela1[Regional],0,0,1)</f>
        <v>Adilson</v>
      </c>
      <c r="H1025" s="13" t="str">
        <f>_xlfn.XLOOKUP(B1025,[1]!Tabela1[[Cidades ]],[1]!Tabela1[Gerente],0,0,1)</f>
        <v>Demais coordenadores</v>
      </c>
    </row>
    <row r="1026" spans="1:8" x14ac:dyDescent="0.3">
      <c r="A1026" s="4" t="s">
        <v>1256</v>
      </c>
      <c r="B1026" s="5" t="s">
        <v>39</v>
      </c>
      <c r="C1026" s="6">
        <v>45838</v>
      </c>
      <c r="D1026" s="7">
        <v>788656</v>
      </c>
      <c r="E1026" s="5" t="str">
        <f>_xlfn.XLOOKUP(D1026,[1]!Tabela24[Código consultor],[1]!Tabela24[Consultor Venda],0,0,1)</f>
        <v>PAR - STB - PAP - JOY TELECOM - GABRIELA ALVES DE GODOY</v>
      </c>
      <c r="F1026" s="5" t="str">
        <f>_xlfn.XLOOKUP(D1026,[1]!Tabela24[Código consultor],[1]!Tabela24[Canal Consultor],0,0,1)</f>
        <v>PAR_DIG</v>
      </c>
      <c r="G1026" s="5" t="str">
        <f>_xlfn.XLOOKUP(B1026,[1]!Tabela1[[Cidades ]],[1]!Tabela1[Regional],0,0,1)</f>
        <v>Marcio</v>
      </c>
      <c r="H1026" s="8" t="str">
        <f>_xlfn.XLOOKUP(B1026,[1]!Tabela1[[Cidades ]],[1]!Tabela1[Gerente],0,0,1)</f>
        <v>Demais coordenadores</v>
      </c>
    </row>
    <row r="1027" spans="1:8" x14ac:dyDescent="0.3">
      <c r="A1027" s="9" t="s">
        <v>178</v>
      </c>
      <c r="B1027" s="10" t="s">
        <v>34</v>
      </c>
      <c r="C1027" s="11">
        <v>45838</v>
      </c>
      <c r="D1027" s="12">
        <v>165769</v>
      </c>
      <c r="E1027" s="5" t="str">
        <f>_xlfn.XLOOKUP(D1027,[1]!Tabela24[Código consultor],[1]!Tabela24[Consultor Venda],0,0,1)</f>
        <v>PAR - PAP - GTI - THALIA SP - THALIA DA SILVA PEREIRA</v>
      </c>
      <c r="F1027" s="5" t="str">
        <f>_xlfn.XLOOKUP(D1027,[1]!Tabela24[Código consultor],[1]!Tabela24[Canal Consultor],0,0,1)</f>
        <v>PAR</v>
      </c>
      <c r="G1027" s="10" t="str">
        <f>_xlfn.XLOOKUP(B1027,[1]!Tabela1[[Cidades ]],[1]!Tabela1[Regional],0,0,1)</f>
        <v>Alisson</v>
      </c>
      <c r="H1027" s="13" t="str">
        <f>_xlfn.XLOOKUP(B1027,[1]!Tabela1[[Cidades ]],[1]!Tabela1[Gerente],0,0,1)</f>
        <v>Karine</v>
      </c>
    </row>
    <row r="1028" spans="1:8" x14ac:dyDescent="0.3">
      <c r="A1028" s="4" t="s">
        <v>1257</v>
      </c>
      <c r="B1028" s="5" t="s">
        <v>57</v>
      </c>
      <c r="C1028" s="6">
        <v>45838</v>
      </c>
      <c r="D1028" s="7">
        <v>621514</v>
      </c>
      <c r="E1028" s="5" t="str">
        <f>_xlfn.XLOOKUP(D1028,[1]!Tabela24[Código consultor],[1]!Tabela24[Consultor Venda],0,0,1)</f>
        <v>COM - PLI - ELIZANDRA CARDOSO DA CRUZ</v>
      </c>
      <c r="F1028" s="5" t="str">
        <f>_xlfn.XLOOKUP(D1028,[1]!Tabela24[Código consultor],[1]!Tabela24[Canal Consultor],0,0,1)</f>
        <v>INTERNO</v>
      </c>
      <c r="G1028" s="5" t="str">
        <f>_xlfn.XLOOKUP(B1028,[1]!Tabela1[[Cidades ]],[1]!Tabela1[Regional],0,0,1)</f>
        <v>Maycon</v>
      </c>
      <c r="H1028" s="8" t="str">
        <f>_xlfn.XLOOKUP(B1028,[1]!Tabela1[[Cidades ]],[1]!Tabela1[Gerente],0,0,1)</f>
        <v>Demais coordenadores</v>
      </c>
    </row>
    <row r="1029" spans="1:8" x14ac:dyDescent="0.3">
      <c r="A1029" s="9" t="s">
        <v>1258</v>
      </c>
      <c r="B1029" s="10" t="s">
        <v>59</v>
      </c>
      <c r="C1029" s="11">
        <v>45838</v>
      </c>
      <c r="D1029" s="12">
        <v>885451</v>
      </c>
      <c r="E1029" s="5" t="str">
        <f>_xlfn.XLOOKUP(D1029,[1]!Tabela24[Código consultor],[1]!Tabela24[Consultor Venda],0,0,1)</f>
        <v>COM - UMR - MARIA EDUARDA OLIVEIRA SIBIONI</v>
      </c>
      <c r="F1029" s="5" t="str">
        <f>_xlfn.XLOOKUP(D1029,[1]!Tabela24[Código consultor],[1]!Tabela24[Canal Consultor],0,0,1)</f>
        <v>INTERNO</v>
      </c>
      <c r="G1029" s="10" t="str">
        <f>_xlfn.XLOOKUP(B1029,[1]!Tabela1[[Cidades ]],[1]!Tabela1[Regional],0,0,1)</f>
        <v>Adilson</v>
      </c>
      <c r="H1029" s="13" t="str">
        <f>_xlfn.XLOOKUP(B1029,[1]!Tabela1[[Cidades ]],[1]!Tabela1[Gerente],0,0,1)</f>
        <v>Demais coordenadores</v>
      </c>
    </row>
    <row r="1030" spans="1:8" x14ac:dyDescent="0.3">
      <c r="A1030" s="4" t="s">
        <v>1114</v>
      </c>
      <c r="B1030" s="5" t="s">
        <v>59</v>
      </c>
      <c r="C1030" s="6">
        <v>45838</v>
      </c>
      <c r="D1030" s="7">
        <v>694166</v>
      </c>
      <c r="E1030" s="5" t="str">
        <f>_xlfn.XLOOKUP(D1030,[1]!Tabela24[Código consultor],[1]!Tabela24[Consultor Venda],0,0,1)</f>
        <v>DIG - CCO - CARINE CORREA SOARES</v>
      </c>
      <c r="F1030" s="5" t="str">
        <f>_xlfn.XLOOKUP(D1030,[1]!Tabela24[Código consultor],[1]!Tabela24[Canal Consultor],0,0,1)</f>
        <v>DIGITAL</v>
      </c>
      <c r="G1030" s="5" t="str">
        <f>_xlfn.XLOOKUP(B1030,[1]!Tabela1[[Cidades ]],[1]!Tabela1[Regional],0,0,1)</f>
        <v>Adilson</v>
      </c>
      <c r="H1030" s="8" t="str">
        <f>_xlfn.XLOOKUP(B1030,[1]!Tabela1[[Cidades ]],[1]!Tabela1[Gerente],0,0,1)</f>
        <v>Demais coordenadores</v>
      </c>
    </row>
    <row r="1031" spans="1:8" x14ac:dyDescent="0.3">
      <c r="A1031" s="9" t="s">
        <v>122</v>
      </c>
      <c r="B1031" s="10" t="s">
        <v>13</v>
      </c>
      <c r="C1031" s="11">
        <v>45838</v>
      </c>
      <c r="D1031" s="12">
        <v>827465</v>
      </c>
      <c r="E1031" s="5" t="str">
        <f>_xlfn.XLOOKUP(D1031,[1]!Tabela24[Código consultor],[1]!Tabela24[Consultor Venda],0,0,1)</f>
        <v>DIG - ATV - TAINARA RODRIGUES CORDEIRO</v>
      </c>
      <c r="F1031" s="5" t="str">
        <f>_xlfn.XLOOKUP(D1031,[1]!Tabela24[Código consultor],[1]!Tabela24[Canal Consultor],0,0,1)</f>
        <v>Televendas Ativo</v>
      </c>
      <c r="G1031" s="10" t="str">
        <f>_xlfn.XLOOKUP(B1031,[1]!Tabela1[[Cidades ]],[1]!Tabela1[Regional],0,0,1)</f>
        <v>Alisson</v>
      </c>
      <c r="H1031" s="13" t="str">
        <f>_xlfn.XLOOKUP(B1031,[1]!Tabela1[[Cidades ]],[1]!Tabela1[Gerente],0,0,1)</f>
        <v>Ariana</v>
      </c>
    </row>
    <row r="1032" spans="1:8" x14ac:dyDescent="0.3">
      <c r="A1032" s="4" t="s">
        <v>1259</v>
      </c>
      <c r="B1032" s="5" t="s">
        <v>10</v>
      </c>
      <c r="C1032" s="6">
        <v>45838</v>
      </c>
      <c r="D1032" s="7">
        <v>235841</v>
      </c>
      <c r="E1032" s="5" t="str">
        <f>_xlfn.XLOOKUP(D1032,[1]!Tabela24[Código consultor],[1]!Tabela24[Consultor Venda],0,0,1)</f>
        <v>DIG - CCO - KAUANA BONI</v>
      </c>
      <c r="F1032" s="5" t="str">
        <f>_xlfn.XLOOKUP(D1032,[1]!Tabela24[Código consultor],[1]!Tabela24[Canal Consultor],0,0,1)</f>
        <v>DIGITAL</v>
      </c>
      <c r="G1032" s="5" t="str">
        <f>_xlfn.XLOOKUP(B1032,[1]!Tabela1[[Cidades ]],[1]!Tabela1[Regional],0,0,1)</f>
        <v>Jean</v>
      </c>
      <c r="H1032" s="8" t="str">
        <f>_xlfn.XLOOKUP(B1032,[1]!Tabela1[[Cidades ]],[1]!Tabela1[Gerente],0,0,1)</f>
        <v>Demais coordenadores</v>
      </c>
    </row>
    <row r="1033" spans="1:8" x14ac:dyDescent="0.3">
      <c r="A1033" s="9" t="s">
        <v>1115</v>
      </c>
      <c r="B1033" s="10" t="s">
        <v>10</v>
      </c>
      <c r="C1033" s="11">
        <v>45838</v>
      </c>
      <c r="D1033" s="12">
        <v>233138</v>
      </c>
      <c r="E1033" s="5" t="str">
        <f>_xlfn.XLOOKUP(D1033,[1]!Tabela24[Código consultor],[1]!Tabela24[Consultor Venda],0,0,1)</f>
        <v>PAR - INTE - GRP - MOBILE HD - ALINE KARNOSKI</v>
      </c>
      <c r="F1033" s="5" t="str">
        <f>_xlfn.XLOOKUP(D1033,[1]!Tabela24[Código consultor],[1]!Tabela24[Canal Consultor],0,0,1)</f>
        <v>PAR</v>
      </c>
      <c r="G1033" s="10" t="str">
        <f>_xlfn.XLOOKUP(B1033,[1]!Tabela1[[Cidades ]],[1]!Tabela1[Regional],0,0,1)</f>
        <v>Jean</v>
      </c>
      <c r="H1033" s="13" t="str">
        <f>_xlfn.XLOOKUP(B1033,[1]!Tabela1[[Cidades ]],[1]!Tabela1[Gerente],0,0,1)</f>
        <v>Demais coordenadores</v>
      </c>
    </row>
    <row r="1034" spans="1:8" x14ac:dyDescent="0.3">
      <c r="A1034" s="4" t="s">
        <v>1116</v>
      </c>
      <c r="B1034" s="5" t="s">
        <v>38</v>
      </c>
      <c r="C1034" s="6">
        <v>45838</v>
      </c>
      <c r="D1034" s="7">
        <v>683349</v>
      </c>
      <c r="E1034" s="5" t="str">
        <f>_xlfn.XLOOKUP(D1034,[1]!Tabela24[Código consultor],[1]!Tabela24[Consultor Venda],0,0,1)</f>
        <v>DIG - CCO - EVELLIN SALOA MAIA DA CONCEICAO</v>
      </c>
      <c r="F1034" s="5" t="str">
        <f>_xlfn.XLOOKUP(D1034,[1]!Tabela24[Código consultor],[1]!Tabela24[Canal Consultor],0,0,1)</f>
        <v>DIGITAL</v>
      </c>
      <c r="G1034" s="5" t="str">
        <f>_xlfn.XLOOKUP(B1034,[1]!Tabela1[[Cidades ]],[1]!Tabela1[Regional],0,0,1)</f>
        <v>Jean</v>
      </c>
      <c r="H1034" s="8" t="str">
        <f>_xlfn.XLOOKUP(B1034,[1]!Tabela1[[Cidades ]],[1]!Tabela1[Gerente],0,0,1)</f>
        <v>Demais coordenadores</v>
      </c>
    </row>
    <row r="1035" spans="1:8" x14ac:dyDescent="0.3">
      <c r="A1035" s="9" t="s">
        <v>1260</v>
      </c>
      <c r="B1035" s="10" t="s">
        <v>10</v>
      </c>
      <c r="C1035" s="11">
        <v>45838</v>
      </c>
      <c r="D1035" s="12">
        <v>233138</v>
      </c>
      <c r="E1035" s="5" t="str">
        <f>_xlfn.XLOOKUP(D1035,[1]!Tabela24[Código consultor],[1]!Tabela24[Consultor Venda],0,0,1)</f>
        <v>PAR - INTE - GRP - MOBILE HD - ALINE KARNOSKI</v>
      </c>
      <c r="F1035" s="5" t="str">
        <f>_xlfn.XLOOKUP(D1035,[1]!Tabela24[Código consultor],[1]!Tabela24[Canal Consultor],0,0,1)</f>
        <v>PAR</v>
      </c>
      <c r="G1035" s="10" t="str">
        <f>_xlfn.XLOOKUP(B1035,[1]!Tabela1[[Cidades ]],[1]!Tabela1[Regional],0,0,1)</f>
        <v>Jean</v>
      </c>
      <c r="H1035" s="13" t="str">
        <f>_xlfn.XLOOKUP(B1035,[1]!Tabela1[[Cidades ]],[1]!Tabela1[Gerente],0,0,1)</f>
        <v>Demais coordenadores</v>
      </c>
    </row>
    <row r="1036" spans="1:8" x14ac:dyDescent="0.3">
      <c r="A1036" s="4" t="s">
        <v>1261</v>
      </c>
      <c r="B1036" s="5" t="s">
        <v>16</v>
      </c>
      <c r="C1036" s="6">
        <v>45838</v>
      </c>
      <c r="D1036" s="7">
        <v>788656</v>
      </c>
      <c r="E1036" s="5" t="str">
        <f>_xlfn.XLOOKUP(D1036,[1]!Tabela24[Código consultor],[1]!Tabela24[Consultor Venda],0,0,1)</f>
        <v>PAR - STB - PAP - JOY TELECOM - GABRIELA ALVES DE GODOY</v>
      </c>
      <c r="F1036" s="5" t="str">
        <f>_xlfn.XLOOKUP(D1036,[1]!Tabela24[Código consultor],[1]!Tabela24[Canal Consultor],0,0,1)</f>
        <v>PAR_DIG</v>
      </c>
      <c r="G1036" s="5" t="str">
        <f>_xlfn.XLOOKUP(B1036,[1]!Tabela1[[Cidades ]],[1]!Tabela1[Regional],0,0,1)</f>
        <v>Magno</v>
      </c>
      <c r="H1036" s="8" t="str">
        <f>_xlfn.XLOOKUP(B1036,[1]!Tabela1[[Cidades ]],[1]!Tabela1[Gerente],0,0,1)</f>
        <v>Demais coordenadores</v>
      </c>
    </row>
    <row r="1037" spans="1:8" x14ac:dyDescent="0.3">
      <c r="A1037" s="9" t="s">
        <v>1262</v>
      </c>
      <c r="B1037" s="10" t="s">
        <v>9</v>
      </c>
      <c r="C1037" s="11">
        <v>45838</v>
      </c>
      <c r="D1037" s="12">
        <v>694166</v>
      </c>
      <c r="E1037" s="5" t="str">
        <f>_xlfn.XLOOKUP(D1037,[1]!Tabela24[Código consultor],[1]!Tabela24[Consultor Venda],0,0,1)</f>
        <v>DIG - CCO - CARINE CORREA SOARES</v>
      </c>
      <c r="F1037" s="5" t="str">
        <f>_xlfn.XLOOKUP(D1037,[1]!Tabela24[Código consultor],[1]!Tabela24[Canal Consultor],0,0,1)</f>
        <v>DIGITAL</v>
      </c>
      <c r="G1037" s="10" t="str">
        <f>_xlfn.XLOOKUP(B1037,[1]!Tabela1[[Cidades ]],[1]!Tabela1[Regional],0,0,1)</f>
        <v>Maycon</v>
      </c>
      <c r="H1037" s="13" t="str">
        <f>_xlfn.XLOOKUP(B1037,[1]!Tabela1[[Cidades ]],[1]!Tabela1[Gerente],0,0,1)</f>
        <v>Demais coordenadores</v>
      </c>
    </row>
    <row r="1038" spans="1:8" x14ac:dyDescent="0.3">
      <c r="A1038" s="4" t="s">
        <v>1263</v>
      </c>
      <c r="B1038" s="5" t="s">
        <v>31</v>
      </c>
      <c r="C1038" s="6">
        <v>45838</v>
      </c>
      <c r="D1038" s="7">
        <v>666428</v>
      </c>
      <c r="E1038" s="5" t="str">
        <f>_xlfn.XLOOKUP(D1038,[1]!Tabela24[Código consultor],[1]!Tabela24[Consultor Venda],0,0,1)</f>
        <v>COM - CCO - ALESANDRA FRANCA CAMINERO</v>
      </c>
      <c r="F1038" s="5" t="str">
        <f>_xlfn.XLOOKUP(D1038,[1]!Tabela24[Código consultor],[1]!Tabela24[Canal Consultor],0,0,1)</f>
        <v>INTERNO</v>
      </c>
      <c r="G1038" s="5" t="str">
        <f>_xlfn.XLOOKUP(B1038,[1]!Tabela1[[Cidades ]],[1]!Tabela1[Regional],0,0,1)</f>
        <v>Maycon</v>
      </c>
      <c r="H1038" s="8" t="str">
        <f>_xlfn.XLOOKUP(B1038,[1]!Tabela1[[Cidades ]],[1]!Tabela1[Gerente],0,0,1)</f>
        <v>Demais coordenadores</v>
      </c>
    </row>
    <row r="1039" spans="1:8" x14ac:dyDescent="0.3">
      <c r="A1039" s="9" t="s">
        <v>1264</v>
      </c>
      <c r="B1039" s="10" t="s">
        <v>59</v>
      </c>
      <c r="C1039" s="11">
        <v>45838</v>
      </c>
      <c r="D1039" s="12">
        <v>600710</v>
      </c>
      <c r="E1039" s="5" t="str">
        <f>_xlfn.XLOOKUP(D1039,[1]!Tabela24[Código consultor],[1]!Tabela24[Consultor Venda],0,0,1)</f>
        <v>DIG - CCO - BRUNA BALBINOTTI</v>
      </c>
      <c r="F1039" s="5" t="str">
        <f>_xlfn.XLOOKUP(D1039,[1]!Tabela24[Código consultor],[1]!Tabela24[Canal Consultor],0,0,1)</f>
        <v>DIGITAL</v>
      </c>
      <c r="G1039" s="10" t="str">
        <f>_xlfn.XLOOKUP(B1039,[1]!Tabela1[[Cidades ]],[1]!Tabela1[Regional],0,0,1)</f>
        <v>Adilson</v>
      </c>
      <c r="H1039" s="13" t="str">
        <f>_xlfn.XLOOKUP(B1039,[1]!Tabela1[[Cidades ]],[1]!Tabela1[Gerente],0,0,1)</f>
        <v>Demais coordenadores</v>
      </c>
    </row>
    <row r="1040" spans="1:8" x14ac:dyDescent="0.3">
      <c r="A1040" s="4" t="s">
        <v>1265</v>
      </c>
      <c r="B1040" s="5" t="s">
        <v>11</v>
      </c>
      <c r="C1040" s="6">
        <v>45838</v>
      </c>
      <c r="D1040" s="7">
        <v>197832</v>
      </c>
      <c r="E1040" s="5" t="str">
        <f>_xlfn.XLOOKUP(D1040,[1]!Tabela24[Código consultor],[1]!Tabela24[Consultor Venda],0,0,1)</f>
        <v>DIG - CCO - RAIANE BERGAMIN</v>
      </c>
      <c r="F1040" s="5" t="str">
        <f>_xlfn.XLOOKUP(D1040,[1]!Tabela24[Código consultor],[1]!Tabela24[Canal Consultor],0,0,1)</f>
        <v>DIGITAL</v>
      </c>
      <c r="G1040" s="5" t="str">
        <f>_xlfn.XLOOKUP(B1040,[1]!Tabela1[[Cidades ]],[1]!Tabela1[Regional],0,0,1)</f>
        <v>Magno</v>
      </c>
      <c r="H1040" s="8" t="str">
        <f>_xlfn.XLOOKUP(B1040,[1]!Tabela1[[Cidades ]],[1]!Tabela1[Gerente],0,0,1)</f>
        <v>Demais coordenadores</v>
      </c>
    </row>
    <row r="1041" spans="1:8" x14ac:dyDescent="0.3">
      <c r="A1041" s="9" t="s">
        <v>1120</v>
      </c>
      <c r="B1041" s="10" t="s">
        <v>8</v>
      </c>
      <c r="C1041" s="11">
        <v>45838</v>
      </c>
      <c r="D1041" s="12">
        <v>600710</v>
      </c>
      <c r="E1041" s="5" t="str">
        <f>_xlfn.XLOOKUP(D1041,[1]!Tabela24[Código consultor],[1]!Tabela24[Consultor Venda],0,0,1)</f>
        <v>DIG - CCO - BRUNA BALBINOTTI</v>
      </c>
      <c r="F1041" s="5" t="str">
        <f>_xlfn.XLOOKUP(D1041,[1]!Tabela24[Código consultor],[1]!Tabela24[Canal Consultor],0,0,1)</f>
        <v>DIGITAL</v>
      </c>
      <c r="G1041" s="10" t="str">
        <f>_xlfn.XLOOKUP(B1041,[1]!Tabela1[[Cidades ]],[1]!Tabela1[Regional],0,0,1)</f>
        <v>Adilson</v>
      </c>
      <c r="H1041" s="13" t="str">
        <f>_xlfn.XLOOKUP(B1041,[1]!Tabela1[[Cidades ]],[1]!Tabela1[Gerente],0,0,1)</f>
        <v>Demais coordenadores</v>
      </c>
    </row>
    <row r="1042" spans="1:8" x14ac:dyDescent="0.3">
      <c r="A1042" s="4" t="s">
        <v>1266</v>
      </c>
      <c r="B1042" s="5" t="s">
        <v>13</v>
      </c>
      <c r="C1042" s="6">
        <v>45838</v>
      </c>
      <c r="D1042" s="7">
        <v>876149</v>
      </c>
      <c r="E1042" s="5" t="str">
        <f>_xlfn.XLOOKUP(D1042,[1]!Tabela24[Código consultor],[1]!Tabela24[Consultor Venda],0,0,1)</f>
        <v>COM - PAS - DANIEL DA SILVA PINHEIRO</v>
      </c>
      <c r="F1042" s="5" t="str">
        <f>_xlfn.XLOOKUP(D1042,[1]!Tabela24[Código consultor],[1]!Tabela24[Canal Consultor],0,0,1)</f>
        <v>Pap</v>
      </c>
      <c r="G1042" s="5" t="str">
        <f>_xlfn.XLOOKUP(B1042,[1]!Tabela1[[Cidades ]],[1]!Tabela1[Regional],0,0,1)</f>
        <v>Alisson</v>
      </c>
      <c r="H1042" s="8" t="str">
        <f>_xlfn.XLOOKUP(B1042,[1]!Tabela1[[Cidades ]],[1]!Tabela1[Gerente],0,0,1)</f>
        <v>Ariana</v>
      </c>
    </row>
    <row r="1043" spans="1:8" x14ac:dyDescent="0.3">
      <c r="A1043" s="9" t="s">
        <v>211</v>
      </c>
      <c r="B1043" s="10" t="s">
        <v>10</v>
      </c>
      <c r="C1043" s="11">
        <v>45838</v>
      </c>
      <c r="D1043" s="12">
        <v>233138</v>
      </c>
      <c r="E1043" s="5" t="str">
        <f>_xlfn.XLOOKUP(D1043,[1]!Tabela24[Código consultor],[1]!Tabela24[Consultor Venda],0,0,1)</f>
        <v>PAR - INTE - GRP - MOBILE HD - ALINE KARNOSKI</v>
      </c>
      <c r="F1043" s="5" t="str">
        <f>_xlfn.XLOOKUP(D1043,[1]!Tabela24[Código consultor],[1]!Tabela24[Canal Consultor],0,0,1)</f>
        <v>PAR</v>
      </c>
      <c r="G1043" s="10" t="str">
        <f>_xlfn.XLOOKUP(B1043,[1]!Tabela1[[Cidades ]],[1]!Tabela1[Regional],0,0,1)</f>
        <v>Jean</v>
      </c>
      <c r="H1043" s="13" t="str">
        <f>_xlfn.XLOOKUP(B1043,[1]!Tabela1[[Cidades ]],[1]!Tabela1[Gerente],0,0,1)</f>
        <v>Demais coordenadores</v>
      </c>
    </row>
    <row r="1044" spans="1:8" x14ac:dyDescent="0.3">
      <c r="A1044" s="4" t="s">
        <v>1267</v>
      </c>
      <c r="B1044" s="5" t="s">
        <v>59</v>
      </c>
      <c r="C1044" s="6">
        <v>45838</v>
      </c>
      <c r="D1044" s="7">
        <v>235841</v>
      </c>
      <c r="E1044" s="5" t="str">
        <f>_xlfn.XLOOKUP(D1044,[1]!Tabela24[Código consultor],[1]!Tabela24[Consultor Venda],0,0,1)</f>
        <v>DIG - CCO - KAUANA BONI</v>
      </c>
      <c r="F1044" s="5" t="str">
        <f>_xlfn.XLOOKUP(D1044,[1]!Tabela24[Código consultor],[1]!Tabela24[Canal Consultor],0,0,1)</f>
        <v>DIGITAL</v>
      </c>
      <c r="G1044" s="5" t="str">
        <f>_xlfn.XLOOKUP(B1044,[1]!Tabela1[[Cidades ]],[1]!Tabela1[Regional],0,0,1)</f>
        <v>Adilson</v>
      </c>
      <c r="H1044" s="8" t="str">
        <f>_xlfn.XLOOKUP(B1044,[1]!Tabela1[[Cidades ]],[1]!Tabela1[Gerente],0,0,1)</f>
        <v>Demais coordenadores</v>
      </c>
    </row>
    <row r="1045" spans="1:8" x14ac:dyDescent="0.3">
      <c r="A1045" s="9" t="s">
        <v>1268</v>
      </c>
      <c r="B1045" s="10" t="s">
        <v>11</v>
      </c>
      <c r="C1045" s="11">
        <v>45838</v>
      </c>
      <c r="D1045" s="12">
        <v>165769</v>
      </c>
      <c r="E1045" s="5" t="str">
        <f>_xlfn.XLOOKUP(D1045,[1]!Tabela24[Código consultor],[1]!Tabela24[Consultor Venda],0,0,1)</f>
        <v>PAR - PAP - GTI - THALIA SP - THALIA DA SILVA PEREIRA</v>
      </c>
      <c r="F1045" s="5" t="str">
        <f>_xlfn.XLOOKUP(D1045,[1]!Tabela24[Código consultor],[1]!Tabela24[Canal Consultor],0,0,1)</f>
        <v>PAR</v>
      </c>
      <c r="G1045" s="10" t="str">
        <f>_xlfn.XLOOKUP(B1045,[1]!Tabela1[[Cidades ]],[1]!Tabela1[Regional],0,0,1)</f>
        <v>Magno</v>
      </c>
      <c r="H1045" s="13" t="str">
        <f>_xlfn.XLOOKUP(B1045,[1]!Tabela1[[Cidades ]],[1]!Tabela1[Gerente],0,0,1)</f>
        <v>Demais coordenadores</v>
      </c>
    </row>
    <row r="1046" spans="1:8" x14ac:dyDescent="0.3">
      <c r="A1046" s="4" t="s">
        <v>1269</v>
      </c>
      <c r="B1046" s="5" t="s">
        <v>53</v>
      </c>
      <c r="C1046" s="6">
        <v>45838</v>
      </c>
      <c r="D1046" s="7">
        <v>882331</v>
      </c>
      <c r="E1046" s="5" t="str">
        <f>_xlfn.XLOOKUP(D1046,[1]!Tabela24[Código consultor],[1]!Tabela24[Consultor Venda],0,0,1)</f>
        <v>DIG - CCO - SABRINA LUIZA BANDEIRA</v>
      </c>
      <c r="F1046" s="5" t="str">
        <f>_xlfn.XLOOKUP(D1046,[1]!Tabela24[Código consultor],[1]!Tabela24[Canal Consultor],0,0,1)</f>
        <v>DIGITAL</v>
      </c>
      <c r="G1046" s="5" t="str">
        <f>_xlfn.XLOOKUP(B1046,[1]!Tabela1[[Cidades ]],[1]!Tabela1[Regional],0,0,1)</f>
        <v>Adilson</v>
      </c>
      <c r="H1046" s="8" t="str">
        <f>_xlfn.XLOOKUP(B1046,[1]!Tabela1[[Cidades ]],[1]!Tabela1[Gerente],0,0,1)</f>
        <v>Demais coordenadores</v>
      </c>
    </row>
    <row r="1047" spans="1:8" x14ac:dyDescent="0.3">
      <c r="A1047" s="9" t="s">
        <v>1123</v>
      </c>
      <c r="B1047" s="10" t="s">
        <v>30</v>
      </c>
      <c r="C1047" s="11">
        <v>45838</v>
      </c>
      <c r="D1047" s="12">
        <v>617463</v>
      </c>
      <c r="E1047" s="5" t="str">
        <f>_xlfn.XLOOKUP(D1047,[1]!Tabela24[Código consultor],[1]!Tabela24[Consultor Venda],0,0,1)</f>
        <v>DIG - CCO - ALEX AUGUSTO DA CRUZ RODRIGUES</v>
      </c>
      <c r="F1047" s="5" t="str">
        <f>_xlfn.XLOOKUP(D1047,[1]!Tabela24[Código consultor],[1]!Tabela24[Canal Consultor],0,0,1)</f>
        <v>DIGITAL</v>
      </c>
      <c r="G1047" s="10" t="str">
        <f>_xlfn.XLOOKUP(B1047,[1]!Tabela1[[Cidades ]],[1]!Tabela1[Regional],0,0,1)</f>
        <v>Jean</v>
      </c>
      <c r="H1047" s="13" t="str">
        <f>_xlfn.XLOOKUP(B1047,[1]!Tabela1[[Cidades ]],[1]!Tabela1[Gerente],0,0,1)</f>
        <v>Demais coordenadores</v>
      </c>
    </row>
    <row r="1048" spans="1:8" x14ac:dyDescent="0.3">
      <c r="A1048" s="4" t="s">
        <v>1270</v>
      </c>
      <c r="B1048" s="5" t="s">
        <v>12</v>
      </c>
      <c r="C1048" s="6">
        <v>45838</v>
      </c>
      <c r="D1048" s="7">
        <v>40828</v>
      </c>
      <c r="E1048" s="5" t="str">
        <f>_xlfn.XLOOKUP(D1048,[1]!Tabela24[Código consultor],[1]!Tabela24[Consultor Venda],0,0,1)</f>
        <v>COM - PGO - CRISTIANE APARECIDA CHIAMULERA</v>
      </c>
      <c r="F1048" s="5" t="str">
        <f>_xlfn.XLOOKUP(D1048,[1]!Tabela24[Código consultor],[1]!Tabela24[Canal Consultor],0,0,1)</f>
        <v>Pap</v>
      </c>
      <c r="G1048" s="5" t="str">
        <f>_xlfn.XLOOKUP(B1048,[1]!Tabela1[[Cidades ]],[1]!Tabela1[Regional],0,0,1)</f>
        <v>Jean</v>
      </c>
      <c r="H1048" s="8" t="str">
        <f>_xlfn.XLOOKUP(B1048,[1]!Tabela1[[Cidades ]],[1]!Tabela1[Gerente],0,0,1)</f>
        <v>Demais coordenadores</v>
      </c>
    </row>
    <row r="1049" spans="1:8" x14ac:dyDescent="0.3">
      <c r="A1049" s="9" t="s">
        <v>1271</v>
      </c>
      <c r="B1049" s="10" t="s">
        <v>59</v>
      </c>
      <c r="C1049" s="11">
        <v>45838</v>
      </c>
      <c r="D1049" s="12">
        <v>197832</v>
      </c>
      <c r="E1049" s="5" t="str">
        <f>_xlfn.XLOOKUP(D1049,[1]!Tabela24[Código consultor],[1]!Tabela24[Consultor Venda],0,0,1)</f>
        <v>DIG - CCO - RAIANE BERGAMIN</v>
      </c>
      <c r="F1049" s="5" t="str">
        <f>_xlfn.XLOOKUP(D1049,[1]!Tabela24[Código consultor],[1]!Tabela24[Canal Consultor],0,0,1)</f>
        <v>DIGITAL</v>
      </c>
      <c r="G1049" s="10" t="str">
        <f>_xlfn.XLOOKUP(B1049,[1]!Tabela1[[Cidades ]],[1]!Tabela1[Regional],0,0,1)</f>
        <v>Adilson</v>
      </c>
      <c r="H1049" s="13" t="str">
        <f>_xlfn.XLOOKUP(B1049,[1]!Tabela1[[Cidades ]],[1]!Tabela1[Gerente],0,0,1)</f>
        <v>Demais coordenadores</v>
      </c>
    </row>
    <row r="1050" spans="1:8" x14ac:dyDescent="0.3">
      <c r="A1050" s="4" t="s">
        <v>273</v>
      </c>
      <c r="B1050" s="5" t="s">
        <v>11</v>
      </c>
      <c r="C1050" s="6">
        <v>45838</v>
      </c>
      <c r="D1050" s="7">
        <v>882357</v>
      </c>
      <c r="E1050" s="5" t="str">
        <f>_xlfn.XLOOKUP(D1050,[1]!Tabela24[Código consultor],[1]!Tabela24[Consultor Venda],0,0,1)</f>
        <v>COM - GTI - CESAR ALFREDO MENSCH</v>
      </c>
      <c r="F1050" s="5" t="str">
        <f>_xlfn.XLOOKUP(D1050,[1]!Tabela24[Código consultor],[1]!Tabela24[Canal Consultor],0,0,1)</f>
        <v>Pap</v>
      </c>
      <c r="G1050" s="5" t="str">
        <f>_xlfn.XLOOKUP(B1050,[1]!Tabela1[[Cidades ]],[1]!Tabela1[Regional],0,0,1)</f>
        <v>Magno</v>
      </c>
      <c r="H1050" s="8" t="str">
        <f>_xlfn.XLOOKUP(B1050,[1]!Tabela1[[Cidades ]],[1]!Tabela1[Gerente],0,0,1)</f>
        <v>Demais coordenadores</v>
      </c>
    </row>
    <row r="1051" spans="1:8" x14ac:dyDescent="0.3">
      <c r="A1051" s="9" t="s">
        <v>1272</v>
      </c>
      <c r="B1051" s="10" t="s">
        <v>10</v>
      </c>
      <c r="C1051" s="11">
        <v>45838</v>
      </c>
      <c r="D1051" s="12">
        <v>233138</v>
      </c>
      <c r="E1051" s="5" t="str">
        <f>_xlfn.XLOOKUP(D1051,[1]!Tabela24[Código consultor],[1]!Tabela24[Consultor Venda],0,0,1)</f>
        <v>PAR - INTE - GRP - MOBILE HD - ALINE KARNOSKI</v>
      </c>
      <c r="F1051" s="5" t="str">
        <f>_xlfn.XLOOKUP(D1051,[1]!Tabela24[Código consultor],[1]!Tabela24[Canal Consultor],0,0,1)</f>
        <v>PAR</v>
      </c>
      <c r="G1051" s="10" t="str">
        <f>_xlfn.XLOOKUP(B1051,[1]!Tabela1[[Cidades ]],[1]!Tabela1[Regional],0,0,1)</f>
        <v>Jean</v>
      </c>
      <c r="H1051" s="13" t="str">
        <f>_xlfn.XLOOKUP(B1051,[1]!Tabela1[[Cidades ]],[1]!Tabela1[Gerente],0,0,1)</f>
        <v>Demais coordenadores</v>
      </c>
    </row>
    <row r="1052" spans="1:8" x14ac:dyDescent="0.3">
      <c r="A1052" s="4" t="s">
        <v>135</v>
      </c>
      <c r="B1052" s="5" t="s">
        <v>34</v>
      </c>
      <c r="C1052" s="6">
        <v>45838</v>
      </c>
      <c r="D1052" s="7">
        <v>883213</v>
      </c>
      <c r="E1052" s="5" t="str">
        <f>_xlfn.XLOOKUP(D1052,[1]!Tabela24[Código consultor],[1]!Tabela24[Consultor Venda],0,0,1)</f>
        <v>COM - ERE - FABIANA HESS SOARES</v>
      </c>
      <c r="F1052" s="5" t="str">
        <f>_xlfn.XLOOKUP(D1052,[1]!Tabela24[Código consultor],[1]!Tabela24[Canal Consultor],0,0,1)</f>
        <v>INTERNO</v>
      </c>
      <c r="G1052" s="5" t="str">
        <f>_xlfn.XLOOKUP(B1052,[1]!Tabela1[[Cidades ]],[1]!Tabela1[Regional],0,0,1)</f>
        <v>Alisson</v>
      </c>
      <c r="H1052" s="8" t="str">
        <f>_xlfn.XLOOKUP(B1052,[1]!Tabela1[[Cidades ]],[1]!Tabela1[Gerente],0,0,1)</f>
        <v>Karine</v>
      </c>
    </row>
    <row r="1053" spans="1:8" x14ac:dyDescent="0.3">
      <c r="A1053" s="9" t="s">
        <v>140</v>
      </c>
      <c r="B1053" s="10" t="s">
        <v>12</v>
      </c>
      <c r="C1053" s="11">
        <v>45838</v>
      </c>
      <c r="D1053" s="12">
        <v>827465</v>
      </c>
      <c r="E1053" s="5" t="str">
        <f>_xlfn.XLOOKUP(D1053,[1]!Tabela24[Código consultor],[1]!Tabela24[Consultor Venda],0,0,1)</f>
        <v>DIG - ATV - TAINARA RODRIGUES CORDEIRO</v>
      </c>
      <c r="F1053" s="5" t="str">
        <f>_xlfn.XLOOKUP(D1053,[1]!Tabela24[Código consultor],[1]!Tabela24[Canal Consultor],0,0,1)</f>
        <v>Televendas Ativo</v>
      </c>
      <c r="G1053" s="10" t="str">
        <f>_xlfn.XLOOKUP(B1053,[1]!Tabela1[[Cidades ]],[1]!Tabela1[Regional],0,0,1)</f>
        <v>Jean</v>
      </c>
      <c r="H1053" s="13" t="str">
        <f>_xlfn.XLOOKUP(B1053,[1]!Tabela1[[Cidades ]],[1]!Tabela1[Gerente],0,0,1)</f>
        <v>Demais coordenadores</v>
      </c>
    </row>
    <row r="1054" spans="1:8" x14ac:dyDescent="0.3">
      <c r="A1054" s="4" t="s">
        <v>148</v>
      </c>
      <c r="B1054" s="5" t="s">
        <v>11</v>
      </c>
      <c r="C1054" s="6">
        <v>45838</v>
      </c>
      <c r="D1054" s="7">
        <v>861705</v>
      </c>
      <c r="E1054" s="5" t="str">
        <f>_xlfn.XLOOKUP(D1054,[1]!Tabela24[Código consultor],[1]!Tabela24[Consultor Venda],0,0,1)</f>
        <v>PAR - COM - PAP - TQR - ERIKA DE OLIVEIRA GALLE</v>
      </c>
      <c r="F1054" s="5" t="str">
        <f>_xlfn.XLOOKUP(D1054,[1]!Tabela24[Código consultor],[1]!Tabela24[Canal Consultor],0,0,1)</f>
        <v>PAR</v>
      </c>
      <c r="G1054" s="5" t="str">
        <f>_xlfn.XLOOKUP(B1054,[1]!Tabela1[[Cidades ]],[1]!Tabela1[Regional],0,0,1)</f>
        <v>Magno</v>
      </c>
      <c r="H1054" s="8" t="str">
        <f>_xlfn.XLOOKUP(B1054,[1]!Tabela1[[Cidades ]],[1]!Tabela1[Gerente],0,0,1)</f>
        <v>Demais coordenadores</v>
      </c>
    </row>
    <row r="1055" spans="1:8" x14ac:dyDescent="0.3">
      <c r="A1055" s="9" t="s">
        <v>1273</v>
      </c>
      <c r="B1055" s="10" t="s">
        <v>19</v>
      </c>
      <c r="C1055" s="11">
        <v>45838</v>
      </c>
      <c r="D1055" s="12">
        <v>788656</v>
      </c>
      <c r="E1055" s="5" t="str">
        <f>_xlfn.XLOOKUP(D1055,[1]!Tabela24[Código consultor],[1]!Tabela24[Consultor Venda],0,0,1)</f>
        <v>PAR - STB - PAP - JOY TELECOM - GABRIELA ALVES DE GODOY</v>
      </c>
      <c r="F1055" s="5" t="str">
        <f>_xlfn.XLOOKUP(D1055,[1]!Tabela24[Código consultor],[1]!Tabela24[Canal Consultor],0,0,1)</f>
        <v>PAR_DIG</v>
      </c>
      <c r="G1055" s="10" t="str">
        <f>_xlfn.XLOOKUP(B1055,[1]!Tabela1[[Cidades ]],[1]!Tabela1[Regional],0,0,1)</f>
        <v>Magno</v>
      </c>
      <c r="H1055" s="13" t="str">
        <f>_xlfn.XLOOKUP(B1055,[1]!Tabela1[[Cidades ]],[1]!Tabela1[Gerente],0,0,1)</f>
        <v>Demais coordenadores</v>
      </c>
    </row>
    <row r="1056" spans="1:8" x14ac:dyDescent="0.3">
      <c r="A1056" s="4" t="s">
        <v>168</v>
      </c>
      <c r="B1056" s="5" t="s">
        <v>23</v>
      </c>
      <c r="C1056" s="6">
        <v>45838</v>
      </c>
      <c r="D1056" s="7">
        <v>861705</v>
      </c>
      <c r="E1056" s="5" t="str">
        <f>_xlfn.XLOOKUP(D1056,[1]!Tabela24[Código consultor],[1]!Tabela24[Consultor Venda],0,0,1)</f>
        <v>PAR - COM - PAP - TQR - ERIKA DE OLIVEIRA GALLE</v>
      </c>
      <c r="F1056" s="5" t="str">
        <f>_xlfn.XLOOKUP(D1056,[1]!Tabela24[Código consultor],[1]!Tabela24[Canal Consultor],0,0,1)</f>
        <v>PAR</v>
      </c>
      <c r="G1056" s="5" t="str">
        <f>_xlfn.XLOOKUP(B1056,[1]!Tabela1[[Cidades ]],[1]!Tabela1[Regional],0,0,1)</f>
        <v>Magno</v>
      </c>
      <c r="H1056" s="8" t="str">
        <f>_xlfn.XLOOKUP(B1056,[1]!Tabela1[[Cidades ]],[1]!Tabela1[Gerente],0,0,1)</f>
        <v>Demais coordenadores</v>
      </c>
    </row>
    <row r="1057" spans="1:8" x14ac:dyDescent="0.3">
      <c r="A1057" s="9" t="s">
        <v>1274</v>
      </c>
      <c r="B1057" s="10" t="s">
        <v>27</v>
      </c>
      <c r="C1057" s="11">
        <v>45838</v>
      </c>
      <c r="D1057" s="12">
        <v>405</v>
      </c>
      <c r="E1057" s="5" t="str">
        <f>_xlfn.XLOOKUP(D1057,[1]!Tabela24[Código consultor],[1]!Tabela24[Consultor Venda],0,0,1)</f>
        <v>COM - VAA - GREICE BOEIRA DA SILVA</v>
      </c>
      <c r="F1057" s="5" t="str">
        <f>_xlfn.XLOOKUP(D1057,[1]!Tabela24[Código consultor],[1]!Tabela24[Canal Consultor],0,0,1)</f>
        <v>INTERNO</v>
      </c>
      <c r="G1057" s="10" t="str">
        <f>_xlfn.XLOOKUP(B1057,[1]!Tabela1[[Cidades ]],[1]!Tabela1[Regional],0,0,1)</f>
        <v>Alisson</v>
      </c>
      <c r="H1057" s="13" t="str">
        <f>_xlfn.XLOOKUP(B1057,[1]!Tabela1[[Cidades ]],[1]!Tabela1[Gerente],0,0,1)</f>
        <v>Tatiane</v>
      </c>
    </row>
    <row r="1058" spans="1:8" x14ac:dyDescent="0.3">
      <c r="A1058" s="4" t="s">
        <v>177</v>
      </c>
      <c r="B1058" s="5" t="s">
        <v>16</v>
      </c>
      <c r="C1058" s="6">
        <v>45838</v>
      </c>
      <c r="D1058" s="7">
        <v>834515</v>
      </c>
      <c r="E1058" s="5" t="str">
        <f>_xlfn.XLOOKUP(D1058,[1]!Tabela24[Código consultor],[1]!Tabela24[Consultor Venda],0,0,1)</f>
        <v>COM - CSL - PRISCILA ANTONIELE SILVEIRA ZACARIAS</v>
      </c>
      <c r="F1058" s="5" t="str">
        <f>_xlfn.XLOOKUP(D1058,[1]!Tabela24[Código consultor],[1]!Tabela24[Canal Consultor],0,0,1)</f>
        <v>INTERNO</v>
      </c>
      <c r="G1058" s="5" t="str">
        <f>_xlfn.XLOOKUP(B1058,[1]!Tabela1[[Cidades ]],[1]!Tabela1[Regional],0,0,1)</f>
        <v>Magno</v>
      </c>
      <c r="H1058" s="8" t="str">
        <f>_xlfn.XLOOKUP(B1058,[1]!Tabela1[[Cidades ]],[1]!Tabela1[Gerente],0,0,1)</f>
        <v>Demais coordenadores</v>
      </c>
    </row>
    <row r="1059" spans="1:8" x14ac:dyDescent="0.3">
      <c r="A1059" s="9" t="s">
        <v>191</v>
      </c>
      <c r="B1059" s="10" t="s">
        <v>15</v>
      </c>
      <c r="C1059" s="11">
        <v>45838</v>
      </c>
      <c r="D1059" s="12">
        <v>794227</v>
      </c>
      <c r="E1059" s="5" t="str">
        <f>_xlfn.XLOOKUP(D1059,[1]!Tabela24[Código consultor],[1]!Tabela24[Consultor Venda],0,0,1)</f>
        <v>PAR - PAP - TECH PERFORMANCE - Dario de Oliveira</v>
      </c>
      <c r="F1059" s="5" t="str">
        <f>_xlfn.XLOOKUP(D1059,[1]!Tabela24[Código consultor],[1]!Tabela24[Canal Consultor],0,0,1)</f>
        <v>Par</v>
      </c>
      <c r="G1059" s="10" t="str">
        <f>_xlfn.XLOOKUP(B1059,[1]!Tabela1[[Cidades ]],[1]!Tabela1[Regional],0,0,1)</f>
        <v>Marcio</v>
      </c>
      <c r="H1059" s="13" t="str">
        <f>_xlfn.XLOOKUP(B1059,[1]!Tabela1[[Cidades ]],[1]!Tabela1[Gerente],0,0,1)</f>
        <v>Demais coordenadores</v>
      </c>
    </row>
    <row r="1060" spans="1:8" x14ac:dyDescent="0.3">
      <c r="A1060" s="4" t="s">
        <v>201</v>
      </c>
      <c r="B1060" s="5" t="s">
        <v>59</v>
      </c>
      <c r="C1060" s="6">
        <v>45838</v>
      </c>
      <c r="D1060" s="7">
        <v>197832</v>
      </c>
      <c r="E1060" s="5" t="str">
        <f>_xlfn.XLOOKUP(D1060,[1]!Tabela24[Código consultor],[1]!Tabela24[Consultor Venda],0,0,1)</f>
        <v>DIG - CCO - RAIANE BERGAMIN</v>
      </c>
      <c r="F1060" s="5" t="str">
        <f>_xlfn.XLOOKUP(D1060,[1]!Tabela24[Código consultor],[1]!Tabela24[Canal Consultor],0,0,1)</f>
        <v>DIGITAL</v>
      </c>
      <c r="G1060" s="5" t="str">
        <f>_xlfn.XLOOKUP(B1060,[1]!Tabela1[[Cidades ]],[1]!Tabela1[Regional],0,0,1)</f>
        <v>Adilson</v>
      </c>
      <c r="H1060" s="8" t="str">
        <f>_xlfn.XLOOKUP(B1060,[1]!Tabela1[[Cidades ]],[1]!Tabela1[Gerente],0,0,1)</f>
        <v>Demais coordenadores</v>
      </c>
    </row>
    <row r="1061" spans="1:8" x14ac:dyDescent="0.3">
      <c r="A1061" s="9" t="s">
        <v>1275</v>
      </c>
      <c r="B1061" s="10" t="s">
        <v>39</v>
      </c>
      <c r="C1061" s="11">
        <v>45838</v>
      </c>
      <c r="D1061" s="12">
        <v>788656</v>
      </c>
      <c r="E1061" s="5" t="str">
        <f>_xlfn.XLOOKUP(D1061,[1]!Tabela24[Código consultor],[1]!Tabela24[Consultor Venda],0,0,1)</f>
        <v>PAR - STB - PAP - JOY TELECOM - GABRIELA ALVES DE GODOY</v>
      </c>
      <c r="F1061" s="5" t="str">
        <f>_xlfn.XLOOKUP(D1061,[1]!Tabela24[Código consultor],[1]!Tabela24[Canal Consultor],0,0,1)</f>
        <v>PAR_DIG</v>
      </c>
      <c r="G1061" s="10" t="str">
        <f>_xlfn.XLOOKUP(B1061,[1]!Tabela1[[Cidades ]],[1]!Tabela1[Regional],0,0,1)</f>
        <v>Marcio</v>
      </c>
      <c r="H1061" s="13" t="str">
        <f>_xlfn.XLOOKUP(B1061,[1]!Tabela1[[Cidades ]],[1]!Tabela1[Gerente],0,0,1)</f>
        <v>Demais coordenadores</v>
      </c>
    </row>
    <row r="1062" spans="1:8" x14ac:dyDescent="0.3">
      <c r="A1062" s="4" t="s">
        <v>208</v>
      </c>
      <c r="B1062" s="5" t="s">
        <v>30</v>
      </c>
      <c r="C1062" s="6">
        <v>45838</v>
      </c>
      <c r="D1062" s="7">
        <v>882331</v>
      </c>
      <c r="E1062" s="5" t="str">
        <f>_xlfn.XLOOKUP(D1062,[1]!Tabela24[Código consultor],[1]!Tabela24[Consultor Venda],0,0,1)</f>
        <v>DIG - CCO - SABRINA LUIZA BANDEIRA</v>
      </c>
      <c r="F1062" s="5" t="str">
        <f>_xlfn.XLOOKUP(D1062,[1]!Tabela24[Código consultor],[1]!Tabela24[Canal Consultor],0,0,1)</f>
        <v>DIGITAL</v>
      </c>
      <c r="G1062" s="5" t="str">
        <f>_xlfn.XLOOKUP(B1062,[1]!Tabela1[[Cidades ]],[1]!Tabela1[Regional],0,0,1)</f>
        <v>Jean</v>
      </c>
      <c r="H1062" s="8" t="str">
        <f>_xlfn.XLOOKUP(B1062,[1]!Tabela1[[Cidades ]],[1]!Tabela1[Gerente],0,0,1)</f>
        <v>Demais coordenadores</v>
      </c>
    </row>
    <row r="1063" spans="1:8" x14ac:dyDescent="0.3">
      <c r="A1063" s="9" t="s">
        <v>218</v>
      </c>
      <c r="B1063" s="10" t="s">
        <v>11</v>
      </c>
      <c r="C1063" s="11">
        <v>45838</v>
      </c>
      <c r="D1063" s="12">
        <v>165769</v>
      </c>
      <c r="E1063" s="5" t="str">
        <f>_xlfn.XLOOKUP(D1063,[1]!Tabela24[Código consultor],[1]!Tabela24[Consultor Venda],0,0,1)</f>
        <v>PAR - PAP - GTI - THALIA SP - THALIA DA SILVA PEREIRA</v>
      </c>
      <c r="F1063" s="5" t="str">
        <f>_xlfn.XLOOKUP(D1063,[1]!Tabela24[Código consultor],[1]!Tabela24[Canal Consultor],0,0,1)</f>
        <v>PAR</v>
      </c>
      <c r="G1063" s="10" t="str">
        <f>_xlfn.XLOOKUP(B1063,[1]!Tabela1[[Cidades ]],[1]!Tabela1[Regional],0,0,1)</f>
        <v>Magno</v>
      </c>
      <c r="H1063" s="13" t="str">
        <f>_xlfn.XLOOKUP(B1063,[1]!Tabela1[[Cidades ]],[1]!Tabela1[Gerente],0,0,1)</f>
        <v>Demais coordenadores</v>
      </c>
    </row>
    <row r="1064" spans="1:8" x14ac:dyDescent="0.3">
      <c r="A1064" s="4" t="s">
        <v>226</v>
      </c>
      <c r="B1064" s="5" t="s">
        <v>76</v>
      </c>
      <c r="C1064" s="6">
        <v>45838</v>
      </c>
      <c r="D1064" s="7">
        <v>869886</v>
      </c>
      <c r="E1064" s="5" t="str">
        <f>_xlfn.XLOOKUP(D1064,[1]!Tabela24[Código consultor],[1]!Tabela24[Consultor Venda],0,0,1)</f>
        <v>COM - CIO - DALISON HENRIQUE DOS SANTOS</v>
      </c>
      <c r="F1064" s="5" t="str">
        <f>_xlfn.XLOOKUP(D1064,[1]!Tabela24[Código consultor],[1]!Tabela24[Canal Consultor],0,0,1)</f>
        <v>Pap</v>
      </c>
      <c r="G1064" s="5" t="str">
        <f>_xlfn.XLOOKUP(B1064,[1]!Tabela1[[Cidades ]],[1]!Tabela1[Regional],0,0,1)</f>
        <v>Alisson</v>
      </c>
      <c r="H1064" s="8" t="str">
        <f>_xlfn.XLOOKUP(B1064,[1]!Tabela1[[Cidades ]],[1]!Tabela1[Gerente],0,0,1)</f>
        <v>Helena</v>
      </c>
    </row>
    <row r="1065" spans="1:8" x14ac:dyDescent="0.3">
      <c r="A1065" s="9" t="s">
        <v>229</v>
      </c>
      <c r="B1065" s="10" t="s">
        <v>33</v>
      </c>
      <c r="C1065" s="11">
        <v>45838</v>
      </c>
      <c r="D1065" s="12">
        <v>785577</v>
      </c>
      <c r="E1065" s="5" t="str">
        <f>_xlfn.XLOOKUP(D1065,[1]!Tabela24[Código consultor],[1]!Tabela24[Consultor Venda],0,0,1)</f>
        <v>COM - XXE - LUCIA HELENA RAMOS KOTHE</v>
      </c>
      <c r="F1065" s="5" t="str">
        <f>_xlfn.XLOOKUP(D1065,[1]!Tabela24[Código consultor],[1]!Tabela24[Canal Consultor],0,0,1)</f>
        <v>INTERNO</v>
      </c>
      <c r="G1065" s="10" t="str">
        <f>_xlfn.XLOOKUP(B1065,[1]!Tabela1[[Cidades ]],[1]!Tabela1[Regional],0,0,1)</f>
        <v>Maycon</v>
      </c>
      <c r="H1065" s="13" t="str">
        <f>_xlfn.XLOOKUP(B1065,[1]!Tabela1[[Cidades ]],[1]!Tabela1[Gerente],0,0,1)</f>
        <v>Demais coordenadores</v>
      </c>
    </row>
    <row r="1066" spans="1:8" x14ac:dyDescent="0.3">
      <c r="A1066" s="4" t="s">
        <v>230</v>
      </c>
      <c r="B1066" s="5" t="s">
        <v>100</v>
      </c>
      <c r="C1066" s="6">
        <v>45838</v>
      </c>
      <c r="D1066" s="7">
        <v>873643</v>
      </c>
      <c r="E1066" s="5" t="str">
        <f>_xlfn.XLOOKUP(D1066,[1]!Tabela24[Código consultor],[1]!Tabela24[Consultor Venda],0,0,1)</f>
        <v>COM - IGA - EMILI JULIANA DE OLIVEIRA SOUTO</v>
      </c>
      <c r="F1066" s="5" t="str">
        <f>_xlfn.XLOOKUP(D1066,[1]!Tabela24[Código consultor],[1]!Tabela24[Canal Consultor],0,0,1)</f>
        <v>INTERNO</v>
      </c>
      <c r="G1066" s="5" t="str">
        <f>_xlfn.XLOOKUP(B1066,[1]!Tabela1[[Cidades ]],[1]!Tabela1[Regional],0,0,1)</f>
        <v>Jean</v>
      </c>
      <c r="H1066" s="8" t="str">
        <f>_xlfn.XLOOKUP(B1066,[1]!Tabela1[[Cidades ]],[1]!Tabela1[Gerente],0,0,1)</f>
        <v>Demais coordenadores</v>
      </c>
    </row>
    <row r="1067" spans="1:8" x14ac:dyDescent="0.3">
      <c r="A1067" s="9" t="s">
        <v>236</v>
      </c>
      <c r="B1067" s="10" t="s">
        <v>39</v>
      </c>
      <c r="C1067" s="11">
        <v>45838</v>
      </c>
      <c r="D1067" s="12">
        <v>637113</v>
      </c>
      <c r="E1067" s="5" t="str">
        <f>_xlfn.XLOOKUP(D1067,[1]!Tabela24[Código consultor],[1]!Tabela24[Consultor Venda],0,0,1)</f>
        <v>COM - LGS - VANESSA LOPES MUNIZ</v>
      </c>
      <c r="F1067" s="5" t="str">
        <f>_xlfn.XLOOKUP(D1067,[1]!Tabela24[Código consultor],[1]!Tabela24[Canal Consultor],0,0,1)</f>
        <v>INTERNO</v>
      </c>
      <c r="G1067" s="10" t="str">
        <f>_xlfn.XLOOKUP(B1067,[1]!Tabela1[[Cidades ]],[1]!Tabela1[Regional],0,0,1)</f>
        <v>Marcio</v>
      </c>
      <c r="H1067" s="13" t="str">
        <f>_xlfn.XLOOKUP(B1067,[1]!Tabela1[[Cidades ]],[1]!Tabela1[Gerente],0,0,1)</f>
        <v>Demais coordenadores</v>
      </c>
    </row>
    <row r="1068" spans="1:8" x14ac:dyDescent="0.3">
      <c r="A1068" s="4" t="s">
        <v>237</v>
      </c>
      <c r="B1068" s="5" t="s">
        <v>11</v>
      </c>
      <c r="C1068" s="6">
        <v>45838</v>
      </c>
      <c r="D1068" s="7">
        <v>525458</v>
      </c>
      <c r="E1068" s="5" t="str">
        <f>_xlfn.XLOOKUP(D1068,[1]!Tabela24[Código consultor],[1]!Tabela24[Consultor Venda],0,0,1)</f>
        <v>PAR - ADM - GRP - FIGUEREDO MOBILE  - JOSELIO O. P. JUNIOR</v>
      </c>
      <c r="F1068" s="5" t="str">
        <f>_xlfn.XLOOKUP(D1068,[1]!Tabela24[Código consultor],[1]!Tabela24[Canal Consultor],0,0,1)</f>
        <v>PAR</v>
      </c>
      <c r="G1068" s="5" t="str">
        <f>_xlfn.XLOOKUP(B1068,[1]!Tabela1[[Cidades ]],[1]!Tabela1[Regional],0,0,1)</f>
        <v>Magno</v>
      </c>
      <c r="H1068" s="8" t="str">
        <f>_xlfn.XLOOKUP(B1068,[1]!Tabela1[[Cidades ]],[1]!Tabela1[Gerente],0,0,1)</f>
        <v>Demais coordenadores</v>
      </c>
    </row>
    <row r="1069" spans="1:8" x14ac:dyDescent="0.3">
      <c r="A1069" s="9" t="s">
        <v>241</v>
      </c>
      <c r="B1069" s="10" t="s">
        <v>31</v>
      </c>
      <c r="C1069" s="11">
        <v>45838</v>
      </c>
      <c r="D1069" s="12">
        <v>827465</v>
      </c>
      <c r="E1069" s="5" t="str">
        <f>_xlfn.XLOOKUP(D1069,[1]!Tabela24[Código consultor],[1]!Tabela24[Consultor Venda],0,0,1)</f>
        <v>DIG - ATV - TAINARA RODRIGUES CORDEIRO</v>
      </c>
      <c r="F1069" s="5" t="str">
        <f>_xlfn.XLOOKUP(D1069,[1]!Tabela24[Código consultor],[1]!Tabela24[Canal Consultor],0,0,1)</f>
        <v>Televendas Ativo</v>
      </c>
      <c r="G1069" s="10" t="str">
        <f>_xlfn.XLOOKUP(B1069,[1]!Tabela1[[Cidades ]],[1]!Tabela1[Regional],0,0,1)</f>
        <v>Maycon</v>
      </c>
      <c r="H1069" s="13" t="str">
        <f>_xlfn.XLOOKUP(B1069,[1]!Tabela1[[Cidades ]],[1]!Tabela1[Gerente],0,0,1)</f>
        <v>Demais coordenadores</v>
      </c>
    </row>
    <row r="1070" spans="1:8" x14ac:dyDescent="0.3">
      <c r="A1070" s="4" t="s">
        <v>244</v>
      </c>
      <c r="B1070" s="5" t="s">
        <v>48</v>
      </c>
      <c r="C1070" s="6">
        <v>45838</v>
      </c>
      <c r="D1070" s="7">
        <v>843026</v>
      </c>
      <c r="E1070" s="5" t="str">
        <f>_xlfn.XLOOKUP(D1070,[1]!Tabela24[Código consultor],[1]!Tabela24[Consultor Venda],0,0,1)</f>
        <v>PAR - COM - PSW - TORMEN INFORMATICA - THIAGO BISATO</v>
      </c>
      <c r="F1070" s="5" t="str">
        <f>_xlfn.XLOOKUP(D1070,[1]!Tabela24[Código consultor],[1]!Tabela24[Canal Consultor],0,0,1)</f>
        <v>PAR</v>
      </c>
      <c r="G1070" s="5" t="str">
        <f>_xlfn.XLOOKUP(B1070,[1]!Tabela1[[Cidades ]],[1]!Tabela1[Regional],0,0,1)</f>
        <v>Maycon</v>
      </c>
      <c r="H1070" s="8" t="str">
        <f>_xlfn.XLOOKUP(B1070,[1]!Tabela1[[Cidades ]],[1]!Tabela1[Gerente],0,0,1)</f>
        <v>Demais coordenadores</v>
      </c>
    </row>
    <row r="1071" spans="1:8" x14ac:dyDescent="0.3">
      <c r="A1071" s="9" t="s">
        <v>257</v>
      </c>
      <c r="B1071" s="10" t="s">
        <v>81</v>
      </c>
      <c r="C1071" s="11">
        <v>45838</v>
      </c>
      <c r="D1071" s="12">
        <v>485228</v>
      </c>
      <c r="E1071" s="5" t="str">
        <f>_xlfn.XLOOKUP(D1071,[1]!Tabela24[Código consultor],[1]!Tabela24[Consultor Venda],0,0,1)</f>
        <v>COM - UMR - RAFAEL BAZZANELA CARDOSO DE SOUZA</v>
      </c>
      <c r="F1071" s="5" t="str">
        <f>_xlfn.XLOOKUP(D1071,[1]!Tabela24[Código consultor],[1]!Tabela24[Canal Consultor],0,0,1)</f>
        <v>INTERNO</v>
      </c>
      <c r="G1071" s="10" t="str">
        <f>_xlfn.XLOOKUP(B1071,[1]!Tabela1[[Cidades ]],[1]!Tabela1[Regional],0,0,1)</f>
        <v>Adilson</v>
      </c>
      <c r="H1071" s="13" t="str">
        <f>_xlfn.XLOOKUP(B1071,[1]!Tabela1[[Cidades ]],[1]!Tabela1[Gerente],0,0,1)</f>
        <v>Demais coordenadores</v>
      </c>
    </row>
    <row r="1072" spans="1:8" x14ac:dyDescent="0.3">
      <c r="A1072" s="4" t="s">
        <v>259</v>
      </c>
      <c r="B1072" s="5" t="s">
        <v>19</v>
      </c>
      <c r="C1072" s="6">
        <v>45838</v>
      </c>
      <c r="D1072" s="7">
        <v>377654</v>
      </c>
      <c r="E1072" s="5" t="str">
        <f>_xlfn.XLOOKUP(D1072,[1]!Tabela24[Código consultor],[1]!Tabela24[Consultor Venda],0,0,1)</f>
        <v>BKO - CCO - JOSE HENRIQUE TOURINHO DE CARVALHO</v>
      </c>
      <c r="F1072" s="5" t="str">
        <f>_xlfn.XLOOKUP(D1072,[1]!Tabela24[Código consultor],[1]!Tabela24[Canal Consultor],0,0,1)</f>
        <v>ADM Interno</v>
      </c>
      <c r="G1072" s="5" t="str">
        <f>_xlfn.XLOOKUP(B1072,[1]!Tabela1[[Cidades ]],[1]!Tabela1[Regional],0,0,1)</f>
        <v>Magno</v>
      </c>
      <c r="H1072" s="8" t="str">
        <f>_xlfn.XLOOKUP(B1072,[1]!Tabela1[[Cidades ]],[1]!Tabela1[Gerente],0,0,1)</f>
        <v>Demais coordenadores</v>
      </c>
    </row>
    <row r="1073" spans="1:8" x14ac:dyDescent="0.3">
      <c r="A1073" s="9" t="s">
        <v>1126</v>
      </c>
      <c r="B1073" s="10" t="s">
        <v>31</v>
      </c>
      <c r="C1073" s="11">
        <v>45838</v>
      </c>
      <c r="D1073" s="12">
        <v>729970</v>
      </c>
      <c r="E1073" s="5" t="str">
        <f>_xlfn.XLOOKUP(D1073,[1]!Tabela24[Código consultor],[1]!Tabela24[Consultor Venda],0,0,1)</f>
        <v>COM - UMR - VINICIUS HENRIQUE HUSS DA MOTA</v>
      </c>
      <c r="F1073" s="5" t="str">
        <f>_xlfn.XLOOKUP(D1073,[1]!Tabela24[Código consultor],[1]!Tabela24[Canal Consultor],0,0,1)</f>
        <v>INTERNO</v>
      </c>
      <c r="G1073" s="10" t="str">
        <f>_xlfn.XLOOKUP(B1073,[1]!Tabela1[[Cidades ]],[1]!Tabela1[Regional],0,0,1)</f>
        <v>Maycon</v>
      </c>
      <c r="H1073" s="13" t="str">
        <f>_xlfn.XLOOKUP(B1073,[1]!Tabela1[[Cidades ]],[1]!Tabela1[Gerente],0,0,1)</f>
        <v>Demais coordenadores</v>
      </c>
    </row>
    <row r="1074" spans="1:8" x14ac:dyDescent="0.3">
      <c r="A1074" s="4" t="s">
        <v>266</v>
      </c>
      <c r="B1074" s="5" t="s">
        <v>42</v>
      </c>
      <c r="C1074" s="6">
        <v>45838</v>
      </c>
      <c r="D1074" s="7">
        <v>836541</v>
      </c>
      <c r="E1074" s="5" t="str">
        <f>_xlfn.XLOOKUP(D1074,[1]!Tabela24[Código consultor],[1]!Tabela24[Consultor Venda],0,0,1)</f>
        <v>COM - CDA - SARA DA SILVA LESSE</v>
      </c>
      <c r="F1074" s="5" t="str">
        <f>_xlfn.XLOOKUP(D1074,[1]!Tabela24[Código consultor],[1]!Tabela24[Canal Consultor],0,0,1)</f>
        <v>INTERNO</v>
      </c>
      <c r="G1074" s="5" t="str">
        <f>_xlfn.XLOOKUP(B1074,[1]!Tabela1[[Cidades ]],[1]!Tabela1[Regional],0,0,1)</f>
        <v>Maycon</v>
      </c>
      <c r="H1074" s="8" t="str">
        <f>_xlfn.XLOOKUP(B1074,[1]!Tabela1[[Cidades ]],[1]!Tabela1[Gerente],0,0,1)</f>
        <v>Demais coordenadores</v>
      </c>
    </row>
    <row r="1075" spans="1:8" x14ac:dyDescent="0.3">
      <c r="A1075" s="9" t="s">
        <v>1127</v>
      </c>
      <c r="B1075" s="10" t="s">
        <v>23</v>
      </c>
      <c r="C1075" s="11">
        <v>45838</v>
      </c>
      <c r="D1075" s="12">
        <v>861705</v>
      </c>
      <c r="E1075" s="5" t="str">
        <f>_xlfn.XLOOKUP(D1075,[1]!Tabela24[Código consultor],[1]!Tabela24[Consultor Venda],0,0,1)</f>
        <v>PAR - COM - PAP - TQR - ERIKA DE OLIVEIRA GALLE</v>
      </c>
      <c r="F1075" s="5" t="str">
        <f>_xlfn.XLOOKUP(D1075,[1]!Tabela24[Código consultor],[1]!Tabela24[Canal Consultor],0,0,1)</f>
        <v>PAR</v>
      </c>
      <c r="G1075" s="10" t="str">
        <f>_xlfn.XLOOKUP(B1075,[1]!Tabela1[[Cidades ]],[1]!Tabela1[Regional],0,0,1)</f>
        <v>Magno</v>
      </c>
      <c r="H1075" s="13" t="str">
        <f>_xlfn.XLOOKUP(B1075,[1]!Tabela1[[Cidades ]],[1]!Tabela1[Gerente],0,0,1)</f>
        <v>Demais coordenadores</v>
      </c>
    </row>
    <row r="1076" spans="1:8" x14ac:dyDescent="0.3">
      <c r="A1076" s="4" t="s">
        <v>1276</v>
      </c>
      <c r="B1076" s="5" t="s">
        <v>59</v>
      </c>
      <c r="C1076" s="6">
        <v>45838</v>
      </c>
      <c r="D1076" s="7">
        <v>794227</v>
      </c>
      <c r="E1076" s="5" t="str">
        <f>_xlfn.XLOOKUP(D1076,[1]!Tabela24[Código consultor],[1]!Tabela24[Consultor Venda],0,0,1)</f>
        <v>PAR - PAP - TECH PERFORMANCE - Dario de Oliveira</v>
      </c>
      <c r="F1076" s="5" t="str">
        <f>_xlfn.XLOOKUP(D1076,[1]!Tabela24[Código consultor],[1]!Tabela24[Canal Consultor],0,0,1)</f>
        <v>Par</v>
      </c>
      <c r="G1076" s="5" t="str">
        <f>_xlfn.XLOOKUP(B1076,[1]!Tabela1[[Cidades ]],[1]!Tabela1[Regional],0,0,1)</f>
        <v>Adilson</v>
      </c>
      <c r="H1076" s="8" t="str">
        <f>_xlfn.XLOOKUP(B1076,[1]!Tabela1[[Cidades ]],[1]!Tabela1[Gerente],0,0,1)</f>
        <v>Demais coordenadores</v>
      </c>
    </row>
    <row r="1077" spans="1:8" x14ac:dyDescent="0.3">
      <c r="A1077" s="9" t="s">
        <v>1277</v>
      </c>
      <c r="B1077" s="10" t="s">
        <v>92</v>
      </c>
      <c r="C1077" s="11">
        <v>45838</v>
      </c>
      <c r="D1077" s="12">
        <v>77299</v>
      </c>
      <c r="E1077" s="5" t="str">
        <f>_xlfn.XLOOKUP(D1077,[1]!Tabela24[Código consultor],[1]!Tabela24[Consultor Venda],0,0,1)</f>
        <v>PAR - INTE - CDA - GND INFORMATICA - IDEMAR RUBERT</v>
      </c>
      <c r="F1077" s="5" t="str">
        <f>_xlfn.XLOOKUP(D1077,[1]!Tabela24[Código consultor],[1]!Tabela24[Canal Consultor],0,0,1)</f>
        <v>PAR</v>
      </c>
      <c r="G1077" s="10" t="str">
        <f>_xlfn.XLOOKUP(B1077,[1]!Tabela1[[Cidades ]],[1]!Tabela1[Regional],0,0,1)</f>
        <v>Maycon</v>
      </c>
      <c r="H1077" s="13" t="str">
        <f>_xlfn.XLOOKUP(B1077,[1]!Tabela1[[Cidades ]],[1]!Tabela1[Gerente],0,0,1)</f>
        <v>Demais coordenadores</v>
      </c>
    </row>
    <row r="1078" spans="1:8" x14ac:dyDescent="0.3">
      <c r="A1078" s="4" t="s">
        <v>1278</v>
      </c>
      <c r="B1078" s="5" t="s">
        <v>53</v>
      </c>
      <c r="C1078" s="6">
        <v>45838</v>
      </c>
      <c r="D1078" s="7">
        <v>683349</v>
      </c>
      <c r="E1078" s="5" t="str">
        <f>_xlfn.XLOOKUP(D1078,[1]!Tabela24[Código consultor],[1]!Tabela24[Consultor Venda],0,0,1)</f>
        <v>DIG - CCO - EVELLIN SALOA MAIA DA CONCEICAO</v>
      </c>
      <c r="F1078" s="5" t="str">
        <f>_xlfn.XLOOKUP(D1078,[1]!Tabela24[Código consultor],[1]!Tabela24[Canal Consultor],0,0,1)</f>
        <v>DIGITAL</v>
      </c>
      <c r="G1078" s="5" t="str">
        <f>_xlfn.XLOOKUP(B1078,[1]!Tabela1[[Cidades ]],[1]!Tabela1[Regional],0,0,1)</f>
        <v>Adilson</v>
      </c>
      <c r="H1078" s="8" t="str">
        <f>_xlfn.XLOOKUP(B1078,[1]!Tabela1[[Cidades ]],[1]!Tabela1[Gerente],0,0,1)</f>
        <v>Demais coordenadores</v>
      </c>
    </row>
    <row r="1079" spans="1:8" x14ac:dyDescent="0.3">
      <c r="A1079" s="9" t="s">
        <v>1128</v>
      </c>
      <c r="B1079" s="10" t="s">
        <v>106</v>
      </c>
      <c r="C1079" s="11">
        <v>45838</v>
      </c>
      <c r="D1079" s="12">
        <v>729970</v>
      </c>
      <c r="E1079" s="5" t="str">
        <f>_xlfn.XLOOKUP(D1079,[1]!Tabela24[Código consultor],[1]!Tabela24[Consultor Venda],0,0,1)</f>
        <v>COM - UMR - VINICIUS HENRIQUE HUSS DA MOTA</v>
      </c>
      <c r="F1079" s="5" t="str">
        <f>_xlfn.XLOOKUP(D1079,[1]!Tabela24[Código consultor],[1]!Tabela24[Canal Consultor],0,0,1)</f>
        <v>INTERNO</v>
      </c>
      <c r="G1079" s="10" t="str">
        <f>_xlfn.XLOOKUP(B1079,[1]!Tabela1[[Cidades ]],[1]!Tabela1[Regional],0,0,1)</f>
        <v>Alisson</v>
      </c>
      <c r="H1079" s="13" t="str">
        <f>_xlfn.XLOOKUP(B1079,[1]!Tabela1[[Cidades ]],[1]!Tabela1[Gerente],0,0,1)</f>
        <v>Ariana</v>
      </c>
    </row>
    <row r="1080" spans="1:8" x14ac:dyDescent="0.3">
      <c r="A1080" s="4" t="s">
        <v>1129</v>
      </c>
      <c r="B1080" s="5" t="s">
        <v>25</v>
      </c>
      <c r="C1080" s="6">
        <v>45838</v>
      </c>
      <c r="D1080" s="7">
        <v>290021</v>
      </c>
      <c r="E1080" s="5" t="str">
        <f>_xlfn.XLOOKUP(D1080,[1]!Tabela24[Código consultor],[1]!Tabela24[Consultor Venda],0,0,1)</f>
        <v>PAR - COM - CLD - ASTEC INFORMATICA - RAFAEL V DE ABREU</v>
      </c>
      <c r="F1080" s="5" t="str">
        <f>_xlfn.XLOOKUP(D1080,[1]!Tabela24[Código consultor],[1]!Tabela24[Canal Consultor],0,0,1)</f>
        <v>PAR</v>
      </c>
      <c r="G1080" s="5" t="str">
        <f>_xlfn.XLOOKUP(B1080,[1]!Tabela1[[Cidades ]],[1]!Tabela1[Regional],0,0,1)</f>
        <v>Maycon</v>
      </c>
      <c r="H1080" s="8" t="str">
        <f>_xlfn.XLOOKUP(B1080,[1]!Tabela1[[Cidades ]],[1]!Tabela1[Gerente],0,0,1)</f>
        <v>Demais coordenadores</v>
      </c>
    </row>
    <row r="1081" spans="1:8" x14ac:dyDescent="0.3">
      <c r="A1081" s="9" t="s">
        <v>207</v>
      </c>
      <c r="B1081" s="10" t="s">
        <v>44</v>
      </c>
      <c r="C1081" s="11">
        <v>45838</v>
      </c>
      <c r="D1081" s="12">
        <v>882331</v>
      </c>
      <c r="E1081" s="5" t="str">
        <f>_xlfn.XLOOKUP(D1081,[1]!Tabela24[Código consultor],[1]!Tabela24[Consultor Venda],0,0,1)</f>
        <v>DIG - CCO - SABRINA LUIZA BANDEIRA</v>
      </c>
      <c r="F1081" s="5" t="str">
        <f>_xlfn.XLOOKUP(D1081,[1]!Tabela24[Código consultor],[1]!Tabela24[Canal Consultor],0,0,1)</f>
        <v>DIGITAL</v>
      </c>
      <c r="G1081" s="10" t="str">
        <f>_xlfn.XLOOKUP(B1081,[1]!Tabela1[[Cidades ]],[1]!Tabela1[Regional],0,0,1)</f>
        <v>Jean</v>
      </c>
      <c r="H1081" s="13" t="str">
        <f>_xlfn.XLOOKUP(B1081,[1]!Tabela1[[Cidades ]],[1]!Tabela1[Gerente],0,0,1)</f>
        <v>Demais coordenadores</v>
      </c>
    </row>
    <row r="1082" spans="1:8" x14ac:dyDescent="0.3">
      <c r="A1082" s="4" t="s">
        <v>1130</v>
      </c>
      <c r="B1082" s="5" t="s">
        <v>102</v>
      </c>
      <c r="C1082" s="6">
        <v>45838</v>
      </c>
      <c r="D1082" s="7">
        <v>391388</v>
      </c>
      <c r="E1082" s="5" t="str">
        <f>_xlfn.XLOOKUP(D1082,[1]!Tabela24[Código consultor],[1]!Tabela24[Consultor Venda],0,0,1)</f>
        <v>PAR - COM - SUV - IDEL - ROSMARI MICHELIN</v>
      </c>
      <c r="F1082" s="5" t="str">
        <f>_xlfn.XLOOKUP(D1082,[1]!Tabela24[Código consultor],[1]!Tabela24[Canal Consultor],0,0,1)</f>
        <v>PAR</v>
      </c>
      <c r="G1082" s="5" t="str">
        <f>_xlfn.XLOOKUP(B1082,[1]!Tabela1[[Cidades ]],[1]!Tabela1[Regional],0,0,1)</f>
        <v>Alisson</v>
      </c>
      <c r="H1082" s="8" t="str">
        <f>_xlfn.XLOOKUP(B1082,[1]!Tabela1[[Cidades ]],[1]!Tabela1[Gerente],0,0,1)</f>
        <v>Tatiane</v>
      </c>
    </row>
    <row r="1083" spans="1:8" x14ac:dyDescent="0.3">
      <c r="A1083" s="9" t="s">
        <v>1279</v>
      </c>
      <c r="B1083" s="10" t="s">
        <v>35</v>
      </c>
      <c r="C1083" s="11">
        <v>45838</v>
      </c>
      <c r="D1083" s="12">
        <v>788656</v>
      </c>
      <c r="E1083" s="5" t="str">
        <f>_xlfn.XLOOKUP(D1083,[1]!Tabela24[Código consultor],[1]!Tabela24[Consultor Venda],0,0,1)</f>
        <v>PAR - STB - PAP - JOY TELECOM - GABRIELA ALVES DE GODOY</v>
      </c>
      <c r="F1083" s="5" t="str">
        <f>_xlfn.XLOOKUP(D1083,[1]!Tabela24[Código consultor],[1]!Tabela24[Canal Consultor],0,0,1)</f>
        <v>PAR_DIG</v>
      </c>
      <c r="G1083" s="10" t="str">
        <f>_xlfn.XLOOKUP(B1083,[1]!Tabela1[[Cidades ]],[1]!Tabela1[Regional],0,0,1)</f>
        <v>Magno</v>
      </c>
      <c r="H1083" s="13" t="str">
        <f>_xlfn.XLOOKUP(B1083,[1]!Tabela1[[Cidades ]],[1]!Tabela1[Gerente],0,0,1)</f>
        <v>Demais coordenadores</v>
      </c>
    </row>
    <row r="1084" spans="1:8" x14ac:dyDescent="0.3">
      <c r="A1084" s="4" t="s">
        <v>1280</v>
      </c>
      <c r="B1084" s="5" t="s">
        <v>11</v>
      </c>
      <c r="C1084" s="6">
        <v>45838</v>
      </c>
      <c r="D1084" s="7">
        <v>617463</v>
      </c>
      <c r="E1084" s="5" t="str">
        <f>_xlfn.XLOOKUP(D1084,[1]!Tabela24[Código consultor],[1]!Tabela24[Consultor Venda],0,0,1)</f>
        <v>DIG - CCO - ALEX AUGUSTO DA CRUZ RODRIGUES</v>
      </c>
      <c r="F1084" s="5" t="str">
        <f>_xlfn.XLOOKUP(D1084,[1]!Tabela24[Código consultor],[1]!Tabela24[Canal Consultor],0,0,1)</f>
        <v>DIGITAL</v>
      </c>
      <c r="G1084" s="5" t="str">
        <f>_xlfn.XLOOKUP(B1084,[1]!Tabela1[[Cidades ]],[1]!Tabela1[Regional],0,0,1)</f>
        <v>Magno</v>
      </c>
      <c r="H1084" s="8" t="str">
        <f>_xlfn.XLOOKUP(B1084,[1]!Tabela1[[Cidades ]],[1]!Tabela1[Gerente],0,0,1)</f>
        <v>Demais coordenadores</v>
      </c>
    </row>
    <row r="1085" spans="1:8" x14ac:dyDescent="0.3">
      <c r="A1085" s="9" t="s">
        <v>1131</v>
      </c>
      <c r="B1085" s="10" t="s">
        <v>31</v>
      </c>
      <c r="C1085" s="11">
        <v>45838</v>
      </c>
      <c r="D1085" s="12">
        <v>788656</v>
      </c>
      <c r="E1085" s="5" t="str">
        <f>_xlfn.XLOOKUP(D1085,[1]!Tabela24[Código consultor],[1]!Tabela24[Consultor Venda],0,0,1)</f>
        <v>PAR - STB - PAP - JOY TELECOM - GABRIELA ALVES DE GODOY</v>
      </c>
      <c r="F1085" s="5" t="str">
        <f>_xlfn.XLOOKUP(D1085,[1]!Tabela24[Código consultor],[1]!Tabela24[Canal Consultor],0,0,1)</f>
        <v>PAR_DIG</v>
      </c>
      <c r="G1085" s="10" t="str">
        <f>_xlfn.XLOOKUP(B1085,[1]!Tabela1[[Cidades ]],[1]!Tabela1[Regional],0,0,1)</f>
        <v>Maycon</v>
      </c>
      <c r="H1085" s="13" t="str">
        <f>_xlfn.XLOOKUP(B1085,[1]!Tabela1[[Cidades ]],[1]!Tabela1[Gerente],0,0,1)</f>
        <v>Demais coordenadores</v>
      </c>
    </row>
    <row r="1086" spans="1:8" x14ac:dyDescent="0.3">
      <c r="A1086" s="4" t="s">
        <v>1133</v>
      </c>
      <c r="B1086" s="5" t="s">
        <v>41</v>
      </c>
      <c r="C1086" s="6">
        <v>45838</v>
      </c>
      <c r="D1086" s="7">
        <v>770958</v>
      </c>
      <c r="E1086" s="5" t="str">
        <f>_xlfn.XLOOKUP(D1086,[1]!Tabela24[Código consultor],[1]!Tabela24[Consultor Venda],0,0,1)</f>
        <v>COM - CLD - JOANNA LEDUR</v>
      </c>
      <c r="F1086" s="5" t="str">
        <f>_xlfn.XLOOKUP(D1086,[1]!Tabela24[Código consultor],[1]!Tabela24[Canal Consultor],0,0,1)</f>
        <v>INTERNO</v>
      </c>
      <c r="G1086" s="5" t="str">
        <f>_xlfn.XLOOKUP(B1086,[1]!Tabela1[[Cidades ]],[1]!Tabela1[Regional],0,0,1)</f>
        <v>Maycon</v>
      </c>
      <c r="H1086" s="8" t="str">
        <f>_xlfn.XLOOKUP(B1086,[1]!Tabela1[[Cidades ]],[1]!Tabela1[Gerente],0,0,1)</f>
        <v>Demais coordenadores</v>
      </c>
    </row>
    <row r="1087" spans="1:8" x14ac:dyDescent="0.3">
      <c r="A1087" s="9" t="s">
        <v>1135</v>
      </c>
      <c r="B1087" s="10" t="s">
        <v>31</v>
      </c>
      <c r="C1087" s="11">
        <v>45838</v>
      </c>
      <c r="D1087" s="12">
        <v>165769</v>
      </c>
      <c r="E1087" s="5" t="str">
        <f>_xlfn.XLOOKUP(D1087,[1]!Tabela24[Código consultor],[1]!Tabela24[Consultor Venda],0,0,1)</f>
        <v>PAR - PAP - GTI - THALIA SP - THALIA DA SILVA PEREIRA</v>
      </c>
      <c r="F1087" s="5" t="str">
        <f>_xlfn.XLOOKUP(D1087,[1]!Tabela24[Código consultor],[1]!Tabela24[Canal Consultor],0,0,1)</f>
        <v>PAR</v>
      </c>
      <c r="G1087" s="10" t="str">
        <f>_xlfn.XLOOKUP(B1087,[1]!Tabela1[[Cidades ]],[1]!Tabela1[Regional],0,0,1)</f>
        <v>Maycon</v>
      </c>
      <c r="H1087" s="13" t="str">
        <f>_xlfn.XLOOKUP(B1087,[1]!Tabela1[[Cidades ]],[1]!Tabela1[Gerente],0,0,1)</f>
        <v>Demais coordenadores</v>
      </c>
    </row>
    <row r="1088" spans="1:8" x14ac:dyDescent="0.3">
      <c r="A1088" s="4" t="s">
        <v>1281</v>
      </c>
      <c r="B1088" s="5" t="s">
        <v>59</v>
      </c>
      <c r="C1088" s="6">
        <v>45838</v>
      </c>
      <c r="D1088" s="7">
        <v>452920</v>
      </c>
      <c r="E1088" s="5" t="str">
        <f>_xlfn.XLOOKUP(D1088,[1]!Tabela24[Código consultor],[1]!Tabela24[Consultor Venda],0,0,1)</f>
        <v>COM - UMR - GUSTAVO HENRIQUE SPANCERSKI DOS SANTOS</v>
      </c>
      <c r="F1088" s="5" t="str">
        <f>_xlfn.XLOOKUP(D1088,[1]!Tabela24[Código consultor],[1]!Tabela24[Canal Consultor],0,0,1)</f>
        <v>INTERNO</v>
      </c>
      <c r="G1088" s="5" t="str">
        <f>_xlfn.XLOOKUP(B1088,[1]!Tabela1[[Cidades ]],[1]!Tabela1[Regional],0,0,1)</f>
        <v>Adilson</v>
      </c>
      <c r="H1088" s="8" t="str">
        <f>_xlfn.XLOOKUP(B1088,[1]!Tabela1[[Cidades ]],[1]!Tabela1[Gerente],0,0,1)</f>
        <v>Demais coordenadores</v>
      </c>
    </row>
    <row r="1089" spans="1:8" x14ac:dyDescent="0.3">
      <c r="A1089" s="9" t="s">
        <v>1282</v>
      </c>
      <c r="B1089" s="10" t="s">
        <v>13</v>
      </c>
      <c r="C1089" s="11">
        <v>45838</v>
      </c>
      <c r="D1089" s="12">
        <v>794227</v>
      </c>
      <c r="E1089" s="5" t="str">
        <f>_xlfn.XLOOKUP(D1089,[1]!Tabela24[Código consultor],[1]!Tabela24[Consultor Venda],0,0,1)</f>
        <v>PAR - PAP - TECH PERFORMANCE - Dario de Oliveira</v>
      </c>
      <c r="F1089" s="5" t="str">
        <f>_xlfn.XLOOKUP(D1089,[1]!Tabela24[Código consultor],[1]!Tabela24[Canal Consultor],0,0,1)</f>
        <v>Par</v>
      </c>
      <c r="G1089" s="10" t="str">
        <f>_xlfn.XLOOKUP(B1089,[1]!Tabela1[[Cidades ]],[1]!Tabela1[Regional],0,0,1)</f>
        <v>Alisson</v>
      </c>
      <c r="H1089" s="13" t="str">
        <f>_xlfn.XLOOKUP(B1089,[1]!Tabela1[[Cidades ]],[1]!Tabela1[Gerente],0,0,1)</f>
        <v>Ariana</v>
      </c>
    </row>
    <row r="1090" spans="1:8" x14ac:dyDescent="0.3">
      <c r="A1090" s="4" t="s">
        <v>1140</v>
      </c>
      <c r="B1090" s="5" t="s">
        <v>31</v>
      </c>
      <c r="C1090" s="6">
        <v>45838</v>
      </c>
      <c r="D1090" s="7">
        <v>647350</v>
      </c>
      <c r="E1090" s="5" t="str">
        <f>_xlfn.XLOOKUP(D1090,[1]!Tabela24[Código consultor],[1]!Tabela24[Consultor Venda],0,0,1)</f>
        <v>COM - CCO - MILENA CAROLINA CARVALHO DE LIMA</v>
      </c>
      <c r="F1090" s="5" t="str">
        <f>_xlfn.XLOOKUP(D1090,[1]!Tabela24[Código consultor],[1]!Tabela24[Canal Consultor],0,0,1)</f>
        <v>INTERNO</v>
      </c>
      <c r="G1090" s="5" t="str">
        <f>_xlfn.XLOOKUP(B1090,[1]!Tabela1[[Cidades ]],[1]!Tabela1[Regional],0,0,1)</f>
        <v>Maycon</v>
      </c>
      <c r="H1090" s="8" t="str">
        <f>_xlfn.XLOOKUP(B1090,[1]!Tabela1[[Cidades ]],[1]!Tabela1[Gerente],0,0,1)</f>
        <v>Demais coordenadores</v>
      </c>
    </row>
    <row r="1091" spans="1:8" x14ac:dyDescent="0.3">
      <c r="A1091" s="9" t="s">
        <v>1283</v>
      </c>
      <c r="B1091" s="10" t="s">
        <v>11</v>
      </c>
      <c r="C1091" s="11">
        <v>45838</v>
      </c>
      <c r="D1091" s="12">
        <v>827465</v>
      </c>
      <c r="E1091" s="5" t="str">
        <f>_xlfn.XLOOKUP(D1091,[1]!Tabela24[Código consultor],[1]!Tabela24[Consultor Venda],0,0,1)</f>
        <v>DIG - ATV - TAINARA RODRIGUES CORDEIRO</v>
      </c>
      <c r="F1091" s="5" t="str">
        <f>_xlfn.XLOOKUP(D1091,[1]!Tabela24[Código consultor],[1]!Tabela24[Canal Consultor],0,0,1)</f>
        <v>Televendas Ativo</v>
      </c>
      <c r="G1091" s="10" t="str">
        <f>_xlfn.XLOOKUP(B1091,[1]!Tabela1[[Cidades ]],[1]!Tabela1[Regional],0,0,1)</f>
        <v>Magno</v>
      </c>
      <c r="H1091" s="13" t="str">
        <f>_xlfn.XLOOKUP(B1091,[1]!Tabela1[[Cidades ]],[1]!Tabela1[Gerente],0,0,1)</f>
        <v>Demais coordenadores</v>
      </c>
    </row>
    <row r="1092" spans="1:8" x14ac:dyDescent="0.3">
      <c r="A1092" s="4" t="s">
        <v>1284</v>
      </c>
      <c r="B1092" s="5" t="s">
        <v>13</v>
      </c>
      <c r="C1092" s="6">
        <v>45838</v>
      </c>
      <c r="D1092" s="7">
        <v>235841</v>
      </c>
      <c r="E1092" s="5" t="str">
        <f>_xlfn.XLOOKUP(D1092,[1]!Tabela24[Código consultor],[1]!Tabela24[Consultor Venda],0,0,1)</f>
        <v>DIG - CCO - KAUANA BONI</v>
      </c>
      <c r="F1092" s="5" t="str">
        <f>_xlfn.XLOOKUP(D1092,[1]!Tabela24[Código consultor],[1]!Tabela24[Canal Consultor],0,0,1)</f>
        <v>DIGITAL</v>
      </c>
      <c r="G1092" s="5" t="str">
        <f>_xlfn.XLOOKUP(B1092,[1]!Tabela1[[Cidades ]],[1]!Tabela1[Regional],0,0,1)</f>
        <v>Alisson</v>
      </c>
      <c r="H1092" s="8" t="str">
        <f>_xlfn.XLOOKUP(B1092,[1]!Tabela1[[Cidades ]],[1]!Tabela1[Gerente],0,0,1)</f>
        <v>Ariana</v>
      </c>
    </row>
    <row r="1093" spans="1:8" x14ac:dyDescent="0.3">
      <c r="A1093" s="9" t="s">
        <v>1285</v>
      </c>
      <c r="B1093" s="10" t="s">
        <v>11</v>
      </c>
      <c r="C1093" s="11">
        <v>45838</v>
      </c>
      <c r="D1093" s="12">
        <v>788656</v>
      </c>
      <c r="E1093" s="5" t="str">
        <f>_xlfn.XLOOKUP(D1093,[1]!Tabela24[Código consultor],[1]!Tabela24[Consultor Venda],0,0,1)</f>
        <v>PAR - STB - PAP - JOY TELECOM - GABRIELA ALVES DE GODOY</v>
      </c>
      <c r="F1093" s="5" t="str">
        <f>_xlfn.XLOOKUP(D1093,[1]!Tabela24[Código consultor],[1]!Tabela24[Canal Consultor],0,0,1)</f>
        <v>PAR_DIG</v>
      </c>
      <c r="G1093" s="10" t="str">
        <f>_xlfn.XLOOKUP(B1093,[1]!Tabela1[[Cidades ]],[1]!Tabela1[Regional],0,0,1)</f>
        <v>Magno</v>
      </c>
      <c r="H1093" s="13" t="str">
        <f>_xlfn.XLOOKUP(B1093,[1]!Tabela1[[Cidades ]],[1]!Tabela1[Gerente],0,0,1)</f>
        <v>Demais coordenadores</v>
      </c>
    </row>
    <row r="1094" spans="1:8" x14ac:dyDescent="0.3">
      <c r="A1094" s="4" t="s">
        <v>1286</v>
      </c>
      <c r="B1094" s="5" t="s">
        <v>11</v>
      </c>
      <c r="C1094" s="6">
        <v>45838</v>
      </c>
      <c r="D1094" s="7">
        <v>788656</v>
      </c>
      <c r="E1094" s="5" t="str">
        <f>_xlfn.XLOOKUP(D1094,[1]!Tabela24[Código consultor],[1]!Tabela24[Consultor Venda],0,0,1)</f>
        <v>PAR - STB - PAP - JOY TELECOM - GABRIELA ALVES DE GODOY</v>
      </c>
      <c r="F1094" s="5" t="str">
        <f>_xlfn.XLOOKUP(D1094,[1]!Tabela24[Código consultor],[1]!Tabela24[Canal Consultor],0,0,1)</f>
        <v>PAR_DIG</v>
      </c>
      <c r="G1094" s="5" t="str">
        <f>_xlfn.XLOOKUP(B1094,[1]!Tabela1[[Cidades ]],[1]!Tabela1[Regional],0,0,1)</f>
        <v>Magno</v>
      </c>
      <c r="H1094" s="8" t="str">
        <f>_xlfn.XLOOKUP(B1094,[1]!Tabela1[[Cidades ]],[1]!Tabela1[Gerente],0,0,1)</f>
        <v>Demais coordenadores</v>
      </c>
    </row>
    <row r="1095" spans="1:8" x14ac:dyDescent="0.3">
      <c r="A1095" s="9" t="s">
        <v>1143</v>
      </c>
      <c r="B1095" s="10" t="s">
        <v>32</v>
      </c>
      <c r="C1095" s="11">
        <v>45838</v>
      </c>
      <c r="D1095" s="12">
        <v>829353</v>
      </c>
      <c r="E1095" s="5" t="str">
        <f>_xlfn.XLOOKUP(D1095,[1]!Tabela24[Código consultor],[1]!Tabela24[Consultor Venda],0,0,1)</f>
        <v>COM - IGA - KARL EDUARDO MORAES DE ALMEIDA</v>
      </c>
      <c r="F1095" s="5" t="str">
        <f>_xlfn.XLOOKUP(D1095,[1]!Tabela24[Código consultor],[1]!Tabela24[Canal Consultor],0,0,1)</f>
        <v>Pap</v>
      </c>
      <c r="G1095" s="10" t="str">
        <f>_xlfn.XLOOKUP(B1095,[1]!Tabela1[[Cidades ]],[1]!Tabela1[Regional],0,0,1)</f>
        <v>Jean</v>
      </c>
      <c r="H1095" s="13" t="str">
        <f>_xlfn.XLOOKUP(B1095,[1]!Tabela1[[Cidades ]],[1]!Tabela1[Gerente],0,0,1)</f>
        <v>Demais coordenadores</v>
      </c>
    </row>
    <row r="1096" spans="1:8" x14ac:dyDescent="0.3">
      <c r="A1096" s="4" t="s">
        <v>1287</v>
      </c>
      <c r="B1096" s="5" t="s">
        <v>39</v>
      </c>
      <c r="C1096" s="6">
        <v>45838</v>
      </c>
      <c r="D1096" s="7">
        <v>683349</v>
      </c>
      <c r="E1096" s="5" t="str">
        <f>_xlfn.XLOOKUP(D1096,[1]!Tabela24[Código consultor],[1]!Tabela24[Consultor Venda],0,0,1)</f>
        <v>DIG - CCO - EVELLIN SALOA MAIA DA CONCEICAO</v>
      </c>
      <c r="F1096" s="5" t="str">
        <f>_xlfn.XLOOKUP(D1096,[1]!Tabela24[Código consultor],[1]!Tabela24[Canal Consultor],0,0,1)</f>
        <v>DIGITAL</v>
      </c>
      <c r="G1096" s="5" t="str">
        <f>_xlfn.XLOOKUP(B1096,[1]!Tabela1[[Cidades ]],[1]!Tabela1[Regional],0,0,1)</f>
        <v>Marcio</v>
      </c>
      <c r="H1096" s="8" t="str">
        <f>_xlfn.XLOOKUP(B1096,[1]!Tabela1[[Cidades ]],[1]!Tabela1[Gerente],0,0,1)</f>
        <v>Demais coordenadores</v>
      </c>
    </row>
    <row r="1097" spans="1:8" x14ac:dyDescent="0.3">
      <c r="A1097" s="9" t="s">
        <v>1288</v>
      </c>
      <c r="B1097" s="10" t="s">
        <v>31</v>
      </c>
      <c r="C1097" s="11">
        <v>45838</v>
      </c>
      <c r="D1097" s="12">
        <v>738880</v>
      </c>
      <c r="E1097" s="5" t="str">
        <f>_xlfn.XLOOKUP(D1097,[1]!Tabela24[Código consultor],[1]!Tabela24[Consultor Venda],0,0,1)</f>
        <v>PAR - PAP - MUNDIALE - ANA LUIZA COUTO MATIAS</v>
      </c>
      <c r="F1097" s="5" t="str">
        <f>_xlfn.XLOOKUP(D1097,[1]!Tabela24[Código consultor],[1]!Tabela24[Canal Consultor],0,0,1)</f>
        <v>PAR_DIG</v>
      </c>
      <c r="G1097" s="10" t="str">
        <f>_xlfn.XLOOKUP(B1097,[1]!Tabela1[[Cidades ]],[1]!Tabela1[Regional],0,0,1)</f>
        <v>Maycon</v>
      </c>
      <c r="H1097" s="13" t="str">
        <f>_xlfn.XLOOKUP(B1097,[1]!Tabela1[[Cidades ]],[1]!Tabela1[Gerente],0,0,1)</f>
        <v>Demais coordenadores</v>
      </c>
    </row>
    <row r="1098" spans="1:8" x14ac:dyDescent="0.3">
      <c r="A1098" s="4" t="s">
        <v>1289</v>
      </c>
      <c r="B1098" s="5" t="s">
        <v>11</v>
      </c>
      <c r="C1098" s="6">
        <v>45838</v>
      </c>
      <c r="D1098" s="7">
        <v>694166</v>
      </c>
      <c r="E1098" s="5" t="str">
        <f>_xlfn.XLOOKUP(D1098,[1]!Tabela24[Código consultor],[1]!Tabela24[Consultor Venda],0,0,1)</f>
        <v>DIG - CCO - CARINE CORREA SOARES</v>
      </c>
      <c r="F1098" s="5" t="str">
        <f>_xlfn.XLOOKUP(D1098,[1]!Tabela24[Código consultor],[1]!Tabela24[Canal Consultor],0,0,1)</f>
        <v>DIGITAL</v>
      </c>
      <c r="G1098" s="5" t="str">
        <f>_xlfn.XLOOKUP(B1098,[1]!Tabela1[[Cidades ]],[1]!Tabela1[Regional],0,0,1)</f>
        <v>Magno</v>
      </c>
      <c r="H1098" s="8" t="str">
        <f>_xlfn.XLOOKUP(B1098,[1]!Tabela1[[Cidades ]],[1]!Tabela1[Gerente],0,0,1)</f>
        <v>Demais coordenadores</v>
      </c>
    </row>
    <row r="1099" spans="1:8" x14ac:dyDescent="0.3">
      <c r="A1099" s="9" t="s">
        <v>1290</v>
      </c>
      <c r="B1099" s="10" t="s">
        <v>10</v>
      </c>
      <c r="C1099" s="11">
        <v>45838</v>
      </c>
      <c r="D1099" s="12">
        <v>525458</v>
      </c>
      <c r="E1099" s="5" t="str">
        <f>_xlfn.XLOOKUP(D1099,[1]!Tabela24[Código consultor],[1]!Tabela24[Consultor Venda],0,0,1)</f>
        <v>PAR - ADM - GRP - FIGUEREDO MOBILE  - JOSELIO O. P. JUNIOR</v>
      </c>
      <c r="F1099" s="5" t="str">
        <f>_xlfn.XLOOKUP(D1099,[1]!Tabela24[Código consultor],[1]!Tabela24[Canal Consultor],0,0,1)</f>
        <v>PAR</v>
      </c>
      <c r="G1099" s="10" t="str">
        <f>_xlfn.XLOOKUP(B1099,[1]!Tabela1[[Cidades ]],[1]!Tabela1[Regional],0,0,1)</f>
        <v>Jean</v>
      </c>
      <c r="H1099" s="13" t="str">
        <f>_xlfn.XLOOKUP(B1099,[1]!Tabela1[[Cidades ]],[1]!Tabela1[Gerente],0,0,1)</f>
        <v>Demais coordenadores</v>
      </c>
    </row>
    <row r="1100" spans="1:8" x14ac:dyDescent="0.3">
      <c r="A1100" s="4" t="s">
        <v>1148</v>
      </c>
      <c r="B1100" s="5" t="s">
        <v>22</v>
      </c>
      <c r="C1100" s="6">
        <v>45838</v>
      </c>
      <c r="D1100" s="7">
        <v>729970</v>
      </c>
      <c r="E1100" s="5" t="str">
        <f>_xlfn.XLOOKUP(D1100,[1]!Tabela24[Código consultor],[1]!Tabela24[Consultor Venda],0,0,1)</f>
        <v>COM - UMR - VINICIUS HENRIQUE HUSS DA MOTA</v>
      </c>
      <c r="F1100" s="5" t="str">
        <f>_xlfn.XLOOKUP(D1100,[1]!Tabela24[Código consultor],[1]!Tabela24[Canal Consultor],0,0,1)</f>
        <v>INTERNO</v>
      </c>
      <c r="G1100" s="5" t="str">
        <f>_xlfn.XLOOKUP(B1100,[1]!Tabela1[[Cidades ]],[1]!Tabela1[Regional],0,0,1)</f>
        <v>Magno</v>
      </c>
      <c r="H1100" s="8" t="str">
        <f>_xlfn.XLOOKUP(B1100,[1]!Tabela1[[Cidades ]],[1]!Tabela1[Gerente],0,0,1)</f>
        <v>Demais coordenadores</v>
      </c>
    </row>
    <row r="1101" spans="1:8" x14ac:dyDescent="0.3">
      <c r="A1101" s="9" t="s">
        <v>1291</v>
      </c>
      <c r="B1101" s="10" t="s">
        <v>60</v>
      </c>
      <c r="C1101" s="11">
        <v>45838</v>
      </c>
      <c r="D1101" s="12">
        <v>781646</v>
      </c>
      <c r="E1101" s="5" t="str">
        <f>_xlfn.XLOOKUP(D1101,[1]!Tabela24[Código consultor],[1]!Tabela24[Consultor Venda],0,0,1)</f>
        <v>COM - CHN - EDUARDA BECKER RANGEL</v>
      </c>
      <c r="F1101" s="5" t="str">
        <f>_xlfn.XLOOKUP(D1101,[1]!Tabela24[Código consultor],[1]!Tabela24[Canal Consultor],0,0,1)</f>
        <v>Pap</v>
      </c>
      <c r="G1101" s="10" t="str">
        <f>_xlfn.XLOOKUP(B1101,[1]!Tabela1[[Cidades ]],[1]!Tabela1[Regional],0,0,1)</f>
        <v>Magno</v>
      </c>
      <c r="H1101" s="13" t="str">
        <f>_xlfn.XLOOKUP(B1101,[1]!Tabela1[[Cidades ]],[1]!Tabela1[Gerente],0,0,1)</f>
        <v>Demais coordenadores</v>
      </c>
    </row>
    <row r="1102" spans="1:8" x14ac:dyDescent="0.3">
      <c r="A1102" s="4" t="s">
        <v>1292</v>
      </c>
      <c r="B1102" s="5" t="s">
        <v>70</v>
      </c>
      <c r="C1102" s="6">
        <v>45838</v>
      </c>
      <c r="D1102" s="7">
        <v>738880</v>
      </c>
      <c r="E1102" s="5" t="str">
        <f>_xlfn.XLOOKUP(D1102,[1]!Tabela24[Código consultor],[1]!Tabela24[Consultor Venda],0,0,1)</f>
        <v>PAR - PAP - MUNDIALE - ANA LUIZA COUTO MATIAS</v>
      </c>
      <c r="F1102" s="5" t="str">
        <f>_xlfn.XLOOKUP(D1102,[1]!Tabela24[Código consultor],[1]!Tabela24[Canal Consultor],0,0,1)</f>
        <v>PAR_DIG</v>
      </c>
      <c r="G1102" s="5" t="str">
        <f>_xlfn.XLOOKUP(B1102,[1]!Tabela1[[Cidades ]],[1]!Tabela1[Regional],0,0,1)</f>
        <v>Alisson</v>
      </c>
      <c r="H1102" s="8" t="str">
        <f>_xlfn.XLOOKUP(B1102,[1]!Tabela1[[Cidades ]],[1]!Tabela1[Gerente],0,0,1)</f>
        <v>Ariana</v>
      </c>
    </row>
    <row r="1103" spans="1:8" x14ac:dyDescent="0.3">
      <c r="A1103" s="9" t="s">
        <v>1293</v>
      </c>
      <c r="B1103" s="10" t="s">
        <v>30</v>
      </c>
      <c r="C1103" s="11">
        <v>45838</v>
      </c>
      <c r="D1103" s="12">
        <v>788656</v>
      </c>
      <c r="E1103" s="5" t="str">
        <f>_xlfn.XLOOKUP(D1103,[1]!Tabela24[Código consultor],[1]!Tabela24[Consultor Venda],0,0,1)</f>
        <v>PAR - STB - PAP - JOY TELECOM - GABRIELA ALVES DE GODOY</v>
      </c>
      <c r="F1103" s="5" t="str">
        <f>_xlfn.XLOOKUP(D1103,[1]!Tabela24[Código consultor],[1]!Tabela24[Canal Consultor],0,0,1)</f>
        <v>PAR_DIG</v>
      </c>
      <c r="G1103" s="10" t="str">
        <f>_xlfn.XLOOKUP(B1103,[1]!Tabela1[[Cidades ]],[1]!Tabela1[Regional],0,0,1)</f>
        <v>Jean</v>
      </c>
      <c r="H1103" s="13" t="str">
        <f>_xlfn.XLOOKUP(B1103,[1]!Tabela1[[Cidades ]],[1]!Tabela1[Gerente],0,0,1)</f>
        <v>Demais coordenadores</v>
      </c>
    </row>
    <row r="1104" spans="1:8" x14ac:dyDescent="0.3">
      <c r="A1104" s="4" t="s">
        <v>1151</v>
      </c>
      <c r="B1104" s="5" t="s">
        <v>10</v>
      </c>
      <c r="C1104" s="6">
        <v>45838</v>
      </c>
      <c r="D1104" s="7">
        <v>233138</v>
      </c>
      <c r="E1104" s="5" t="str">
        <f>_xlfn.XLOOKUP(D1104,[1]!Tabela24[Código consultor],[1]!Tabela24[Consultor Venda],0,0,1)</f>
        <v>PAR - INTE - GRP - MOBILE HD - ALINE KARNOSKI</v>
      </c>
      <c r="F1104" s="5" t="str">
        <f>_xlfn.XLOOKUP(D1104,[1]!Tabela24[Código consultor],[1]!Tabela24[Canal Consultor],0,0,1)</f>
        <v>PAR</v>
      </c>
      <c r="G1104" s="5" t="str">
        <f>_xlfn.XLOOKUP(B1104,[1]!Tabela1[[Cidades ]],[1]!Tabela1[Regional],0,0,1)</f>
        <v>Jean</v>
      </c>
      <c r="H1104" s="8" t="str">
        <f>_xlfn.XLOOKUP(B1104,[1]!Tabela1[[Cidades ]],[1]!Tabela1[Gerente],0,0,1)</f>
        <v>Demais coordenadores</v>
      </c>
    </row>
    <row r="1105" spans="1:8" x14ac:dyDescent="0.3">
      <c r="A1105" s="9" t="s">
        <v>1153</v>
      </c>
      <c r="B1105" s="10" t="s">
        <v>11</v>
      </c>
      <c r="C1105" s="11">
        <v>45838</v>
      </c>
      <c r="D1105" s="12">
        <v>788656</v>
      </c>
      <c r="E1105" s="5" t="str">
        <f>_xlfn.XLOOKUP(D1105,[1]!Tabela24[Código consultor],[1]!Tabela24[Consultor Venda],0,0,1)</f>
        <v>PAR - STB - PAP - JOY TELECOM - GABRIELA ALVES DE GODOY</v>
      </c>
      <c r="F1105" s="5" t="str">
        <f>_xlfn.XLOOKUP(D1105,[1]!Tabela24[Código consultor],[1]!Tabela24[Canal Consultor],0,0,1)</f>
        <v>PAR_DIG</v>
      </c>
      <c r="G1105" s="10" t="str">
        <f>_xlfn.XLOOKUP(B1105,[1]!Tabela1[[Cidades ]],[1]!Tabela1[Regional],0,0,1)</f>
        <v>Magno</v>
      </c>
      <c r="H1105" s="13" t="str">
        <f>_xlfn.XLOOKUP(B1105,[1]!Tabela1[[Cidades ]],[1]!Tabela1[Gerente],0,0,1)</f>
        <v>Demais coordenadores</v>
      </c>
    </row>
    <row r="1106" spans="1:8" x14ac:dyDescent="0.3">
      <c r="A1106" s="4" t="s">
        <v>1154</v>
      </c>
      <c r="B1106" s="5" t="s">
        <v>67</v>
      </c>
      <c r="C1106" s="6">
        <v>45838</v>
      </c>
      <c r="D1106" s="7">
        <v>165769</v>
      </c>
      <c r="E1106" s="5" t="str">
        <f>_xlfn.XLOOKUP(D1106,[1]!Tabela24[Código consultor],[1]!Tabela24[Consultor Venda],0,0,1)</f>
        <v>PAR - PAP - GTI - THALIA SP - THALIA DA SILVA PEREIRA</v>
      </c>
      <c r="F1106" s="5" t="str">
        <f>_xlfn.XLOOKUP(D1106,[1]!Tabela24[Código consultor],[1]!Tabela24[Canal Consultor],0,0,1)</f>
        <v>PAR</v>
      </c>
      <c r="G1106" s="5" t="str">
        <f>_xlfn.XLOOKUP(B1106,[1]!Tabela1[[Cidades ]],[1]!Tabela1[Regional],0,0,1)</f>
        <v>Maycon</v>
      </c>
      <c r="H1106" s="8" t="str">
        <f>_xlfn.XLOOKUP(B1106,[1]!Tabela1[[Cidades ]],[1]!Tabela1[Gerente],0,0,1)</f>
        <v>Demais coordenadores</v>
      </c>
    </row>
    <row r="1107" spans="1:8" x14ac:dyDescent="0.3">
      <c r="A1107" s="9" t="s">
        <v>1294</v>
      </c>
      <c r="B1107" s="10" t="s">
        <v>39</v>
      </c>
      <c r="C1107" s="11">
        <v>45838</v>
      </c>
      <c r="D1107" s="12">
        <v>235841</v>
      </c>
      <c r="E1107" s="5" t="str">
        <f>_xlfn.XLOOKUP(D1107,[1]!Tabela24[Código consultor],[1]!Tabela24[Consultor Venda],0,0,1)</f>
        <v>DIG - CCO - KAUANA BONI</v>
      </c>
      <c r="F1107" s="5" t="str">
        <f>_xlfn.XLOOKUP(D1107,[1]!Tabela24[Código consultor],[1]!Tabela24[Canal Consultor],0,0,1)</f>
        <v>DIGITAL</v>
      </c>
      <c r="G1107" s="10" t="str">
        <f>_xlfn.XLOOKUP(B1107,[1]!Tabela1[[Cidades ]],[1]!Tabela1[Regional],0,0,1)</f>
        <v>Marcio</v>
      </c>
      <c r="H1107" s="13" t="str">
        <f>_xlfn.XLOOKUP(B1107,[1]!Tabela1[[Cidades ]],[1]!Tabela1[Gerente],0,0,1)</f>
        <v>Demais coordenadores</v>
      </c>
    </row>
    <row r="1108" spans="1:8" x14ac:dyDescent="0.3">
      <c r="A1108" s="4" t="s">
        <v>1155</v>
      </c>
      <c r="B1108" s="5" t="s">
        <v>35</v>
      </c>
      <c r="C1108" s="6">
        <v>45838</v>
      </c>
      <c r="D1108" s="7">
        <v>766269</v>
      </c>
      <c r="E1108" s="5" t="str">
        <f>_xlfn.XLOOKUP(D1108,[1]!Tabela24[Código consultor],[1]!Tabela24[Consultor Venda],0,0,1)</f>
        <v>COM - FRL - THALIA PRATES RIGHI</v>
      </c>
      <c r="F1108" s="5" t="str">
        <f>_xlfn.XLOOKUP(D1108,[1]!Tabela24[Código consultor],[1]!Tabela24[Canal Consultor],0,0,1)</f>
        <v>Pap</v>
      </c>
      <c r="G1108" s="5" t="str">
        <f>_xlfn.XLOOKUP(B1108,[1]!Tabela1[[Cidades ]],[1]!Tabela1[Regional],0,0,1)</f>
        <v>Magno</v>
      </c>
      <c r="H1108" s="8" t="str">
        <f>_xlfn.XLOOKUP(B1108,[1]!Tabela1[[Cidades ]],[1]!Tabela1[Gerente],0,0,1)</f>
        <v>Demais coordenadores</v>
      </c>
    </row>
    <row r="1109" spans="1:8" x14ac:dyDescent="0.3">
      <c r="A1109" s="9" t="s">
        <v>1156</v>
      </c>
      <c r="B1109" s="10" t="s">
        <v>31</v>
      </c>
      <c r="C1109" s="11">
        <v>45838</v>
      </c>
      <c r="D1109" s="12">
        <v>197832</v>
      </c>
      <c r="E1109" s="5" t="str">
        <f>_xlfn.XLOOKUP(D1109,[1]!Tabela24[Código consultor],[1]!Tabela24[Consultor Venda],0,0,1)</f>
        <v>DIG - CCO - RAIANE BERGAMIN</v>
      </c>
      <c r="F1109" s="5" t="str">
        <f>_xlfn.XLOOKUP(D1109,[1]!Tabela24[Código consultor],[1]!Tabela24[Canal Consultor],0,0,1)</f>
        <v>DIGITAL</v>
      </c>
      <c r="G1109" s="10" t="str">
        <f>_xlfn.XLOOKUP(B1109,[1]!Tabela1[[Cidades ]],[1]!Tabela1[Regional],0,0,1)</f>
        <v>Maycon</v>
      </c>
      <c r="H1109" s="13" t="str">
        <f>_xlfn.XLOOKUP(B1109,[1]!Tabela1[[Cidades ]],[1]!Tabela1[Gerente],0,0,1)</f>
        <v>Demais coordenadores</v>
      </c>
    </row>
    <row r="1110" spans="1:8" x14ac:dyDescent="0.3">
      <c r="A1110" s="4" t="s">
        <v>1295</v>
      </c>
      <c r="B1110" s="5" t="s">
        <v>46</v>
      </c>
      <c r="C1110" s="6">
        <v>45838</v>
      </c>
      <c r="D1110" s="7">
        <v>694166</v>
      </c>
      <c r="E1110" s="5" t="str">
        <f>_xlfn.XLOOKUP(D1110,[1]!Tabela24[Código consultor],[1]!Tabela24[Consultor Venda],0,0,1)</f>
        <v>DIG - CCO - CARINE CORREA SOARES</v>
      </c>
      <c r="F1110" s="5" t="str">
        <f>_xlfn.XLOOKUP(D1110,[1]!Tabela24[Código consultor],[1]!Tabela24[Canal Consultor],0,0,1)</f>
        <v>DIGITAL</v>
      </c>
      <c r="G1110" s="5" t="str">
        <f>_xlfn.XLOOKUP(B1110,[1]!Tabela1[[Cidades ]],[1]!Tabela1[Regional],0,0,1)</f>
        <v>Magno</v>
      </c>
      <c r="H1110" s="8" t="str">
        <f>_xlfn.XLOOKUP(B1110,[1]!Tabela1[[Cidades ]],[1]!Tabela1[Gerente],0,0,1)</f>
        <v>Demais coordenadores</v>
      </c>
    </row>
    <row r="1111" spans="1:8" x14ac:dyDescent="0.3">
      <c r="A1111" s="9" t="s">
        <v>1296</v>
      </c>
      <c r="B1111" s="10" t="s">
        <v>13</v>
      </c>
      <c r="C1111" s="11">
        <v>45838</v>
      </c>
      <c r="D1111" s="12">
        <v>197832</v>
      </c>
      <c r="E1111" s="5" t="str">
        <f>_xlfn.XLOOKUP(D1111,[1]!Tabela24[Código consultor],[1]!Tabela24[Consultor Venda],0,0,1)</f>
        <v>DIG - CCO - RAIANE BERGAMIN</v>
      </c>
      <c r="F1111" s="5" t="str">
        <f>_xlfn.XLOOKUP(D1111,[1]!Tabela24[Código consultor],[1]!Tabela24[Canal Consultor],0,0,1)</f>
        <v>DIGITAL</v>
      </c>
      <c r="G1111" s="10" t="str">
        <f>_xlfn.XLOOKUP(B1111,[1]!Tabela1[[Cidades ]],[1]!Tabela1[Regional],0,0,1)</f>
        <v>Alisson</v>
      </c>
      <c r="H1111" s="13" t="str">
        <f>_xlfn.XLOOKUP(B1111,[1]!Tabela1[[Cidades ]],[1]!Tabela1[Gerente],0,0,1)</f>
        <v>Ariana</v>
      </c>
    </row>
    <row r="1112" spans="1:8" x14ac:dyDescent="0.3">
      <c r="A1112" s="4" t="s">
        <v>1297</v>
      </c>
      <c r="B1112" s="5" t="s">
        <v>22</v>
      </c>
      <c r="C1112" s="6">
        <v>45838</v>
      </c>
      <c r="D1112" s="7">
        <v>683349</v>
      </c>
      <c r="E1112" s="5" t="str">
        <f>_xlfn.XLOOKUP(D1112,[1]!Tabela24[Código consultor],[1]!Tabela24[Consultor Venda],0,0,1)</f>
        <v>DIG - CCO - EVELLIN SALOA MAIA DA CONCEICAO</v>
      </c>
      <c r="F1112" s="5" t="str">
        <f>_xlfn.XLOOKUP(D1112,[1]!Tabela24[Código consultor],[1]!Tabela24[Canal Consultor],0,0,1)</f>
        <v>DIGITAL</v>
      </c>
      <c r="G1112" s="5" t="str">
        <f>_xlfn.XLOOKUP(B1112,[1]!Tabela1[[Cidades ]],[1]!Tabela1[Regional],0,0,1)</f>
        <v>Magno</v>
      </c>
      <c r="H1112" s="8" t="str">
        <f>_xlfn.XLOOKUP(B1112,[1]!Tabela1[[Cidades ]],[1]!Tabela1[Gerente],0,0,1)</f>
        <v>Demais coordenadores</v>
      </c>
    </row>
    <row r="1113" spans="1:8" x14ac:dyDescent="0.3">
      <c r="A1113" s="9" t="s">
        <v>1298</v>
      </c>
      <c r="B1113" s="10" t="s">
        <v>57</v>
      </c>
      <c r="C1113" s="11">
        <v>45838</v>
      </c>
      <c r="D1113" s="12">
        <v>621514</v>
      </c>
      <c r="E1113" s="5" t="str">
        <f>_xlfn.XLOOKUP(D1113,[1]!Tabela24[Código consultor],[1]!Tabela24[Consultor Venda],0,0,1)</f>
        <v>COM - PLI - ELIZANDRA CARDOSO DA CRUZ</v>
      </c>
      <c r="F1113" s="5" t="str">
        <f>_xlfn.XLOOKUP(D1113,[1]!Tabela24[Código consultor],[1]!Tabela24[Canal Consultor],0,0,1)</f>
        <v>INTERNO</v>
      </c>
      <c r="G1113" s="10" t="str">
        <f>_xlfn.XLOOKUP(B1113,[1]!Tabela1[[Cidades ]],[1]!Tabela1[Regional],0,0,1)</f>
        <v>Maycon</v>
      </c>
      <c r="H1113" s="13" t="str">
        <f>_xlfn.XLOOKUP(B1113,[1]!Tabela1[[Cidades ]],[1]!Tabela1[Gerente],0,0,1)</f>
        <v>Demais coordenadores</v>
      </c>
    </row>
    <row r="1114" spans="1:8" x14ac:dyDescent="0.3">
      <c r="A1114" s="4" t="s">
        <v>1159</v>
      </c>
      <c r="B1114" s="5" t="s">
        <v>35</v>
      </c>
      <c r="C1114" s="6">
        <v>45838</v>
      </c>
      <c r="D1114" s="7">
        <v>694166</v>
      </c>
      <c r="E1114" s="5" t="str">
        <f>_xlfn.XLOOKUP(D1114,[1]!Tabela24[Código consultor],[1]!Tabela24[Consultor Venda],0,0,1)</f>
        <v>DIG - CCO - CARINE CORREA SOARES</v>
      </c>
      <c r="F1114" s="5" t="str">
        <f>_xlfn.XLOOKUP(D1114,[1]!Tabela24[Código consultor],[1]!Tabela24[Canal Consultor],0,0,1)</f>
        <v>DIGITAL</v>
      </c>
      <c r="G1114" s="5" t="str">
        <f>_xlfn.XLOOKUP(B1114,[1]!Tabela1[[Cidades ]],[1]!Tabela1[Regional],0,0,1)</f>
        <v>Magno</v>
      </c>
      <c r="H1114" s="8" t="str">
        <f>_xlfn.XLOOKUP(B1114,[1]!Tabela1[[Cidades ]],[1]!Tabela1[Gerente],0,0,1)</f>
        <v>Demais coordenadores</v>
      </c>
    </row>
    <row r="1115" spans="1:8" x14ac:dyDescent="0.3">
      <c r="A1115" s="9" t="s">
        <v>1299</v>
      </c>
      <c r="B1115" s="10" t="s">
        <v>76</v>
      </c>
      <c r="C1115" s="11">
        <v>45838</v>
      </c>
      <c r="D1115" s="12">
        <v>869886</v>
      </c>
      <c r="E1115" s="5" t="str">
        <f>_xlfn.XLOOKUP(D1115,[1]!Tabela24[Código consultor],[1]!Tabela24[Consultor Venda],0,0,1)</f>
        <v>COM - CIO - DALISON HENRIQUE DOS SANTOS</v>
      </c>
      <c r="F1115" s="5" t="str">
        <f>_xlfn.XLOOKUP(D1115,[1]!Tabela24[Código consultor],[1]!Tabela24[Canal Consultor],0,0,1)</f>
        <v>Pap</v>
      </c>
      <c r="G1115" s="10" t="str">
        <f>_xlfn.XLOOKUP(B1115,[1]!Tabela1[[Cidades ]],[1]!Tabela1[Regional],0,0,1)</f>
        <v>Alisson</v>
      </c>
      <c r="H1115" s="13" t="str">
        <f>_xlfn.XLOOKUP(B1115,[1]!Tabela1[[Cidades ]],[1]!Tabela1[Gerente],0,0,1)</f>
        <v>Helena</v>
      </c>
    </row>
    <row r="1116" spans="1:8" x14ac:dyDescent="0.3">
      <c r="A1116" s="4" t="s">
        <v>1299</v>
      </c>
      <c r="B1116" s="5" t="s">
        <v>76</v>
      </c>
      <c r="C1116" s="6">
        <v>45838</v>
      </c>
      <c r="D1116" s="7">
        <v>869886</v>
      </c>
      <c r="E1116" s="5" t="str">
        <f>_xlfn.XLOOKUP(D1116,[1]!Tabela24[Código consultor],[1]!Tabela24[Consultor Venda],0,0,1)</f>
        <v>COM - CIO - DALISON HENRIQUE DOS SANTOS</v>
      </c>
      <c r="F1116" s="5" t="str">
        <f>_xlfn.XLOOKUP(D1116,[1]!Tabela24[Código consultor],[1]!Tabela24[Canal Consultor],0,0,1)</f>
        <v>Pap</v>
      </c>
      <c r="G1116" s="5" t="str">
        <f>_xlfn.XLOOKUP(B1116,[1]!Tabela1[[Cidades ]],[1]!Tabela1[Regional],0,0,1)</f>
        <v>Alisson</v>
      </c>
      <c r="H1116" s="8" t="str">
        <f>_xlfn.XLOOKUP(B1116,[1]!Tabela1[[Cidades ]],[1]!Tabela1[Gerente],0,0,1)</f>
        <v>Helena</v>
      </c>
    </row>
    <row r="1117" spans="1:8" x14ac:dyDescent="0.3">
      <c r="A1117" s="9" t="s">
        <v>1160</v>
      </c>
      <c r="B1117" s="10" t="s">
        <v>112</v>
      </c>
      <c r="C1117" s="11">
        <v>45838</v>
      </c>
      <c r="D1117" s="12">
        <v>683349</v>
      </c>
      <c r="E1117" s="5" t="str">
        <f>_xlfn.XLOOKUP(D1117,[1]!Tabela24[Código consultor],[1]!Tabela24[Consultor Venda],0,0,1)</f>
        <v>DIG - CCO - EVELLIN SALOA MAIA DA CONCEICAO</v>
      </c>
      <c r="F1117" s="5" t="str">
        <f>_xlfn.XLOOKUP(D1117,[1]!Tabela24[Código consultor],[1]!Tabela24[Canal Consultor],0,0,1)</f>
        <v>DIGITAL</v>
      </c>
      <c r="G1117" s="10" t="str">
        <f>_xlfn.XLOOKUP(B1117,[1]!Tabela1[[Cidades ]],[1]!Tabela1[Regional],0,0,1)</f>
        <v>Alisson</v>
      </c>
      <c r="H1117" s="13" t="str">
        <f>_xlfn.XLOOKUP(B1117,[1]!Tabela1[[Cidades ]],[1]!Tabela1[Gerente],0,0,1)</f>
        <v>Karine</v>
      </c>
    </row>
    <row r="1118" spans="1:8" x14ac:dyDescent="0.3">
      <c r="A1118" s="4" t="s">
        <v>1161</v>
      </c>
      <c r="B1118" s="5" t="s">
        <v>17</v>
      </c>
      <c r="C1118" s="6">
        <v>45838</v>
      </c>
      <c r="D1118" s="7">
        <v>404528</v>
      </c>
      <c r="E1118" s="5" t="str">
        <f>_xlfn.XLOOKUP(D1118,[1]!Tabela24[Código consultor],[1]!Tabela24[Consultor Venda],0,0,1)</f>
        <v>COM - ERE - PATRICIA LAUTERT PIOTROWSKY</v>
      </c>
      <c r="F1118" s="5" t="str">
        <f>_xlfn.XLOOKUP(D1118,[1]!Tabela24[Código consultor],[1]!Tabela24[Canal Consultor],0,0,1)</f>
        <v>INTERNO</v>
      </c>
      <c r="G1118" s="5" t="str">
        <f>_xlfn.XLOOKUP(B1118,[1]!Tabela1[[Cidades ]],[1]!Tabela1[Regional],0,0,1)</f>
        <v>Alisson</v>
      </c>
      <c r="H1118" s="8" t="str">
        <f>_xlfn.XLOOKUP(B1118,[1]!Tabela1[[Cidades ]],[1]!Tabela1[Gerente],0,0,1)</f>
        <v>Ariana</v>
      </c>
    </row>
    <row r="1119" spans="1:8" x14ac:dyDescent="0.3">
      <c r="A1119" s="9" t="s">
        <v>1162</v>
      </c>
      <c r="B1119" s="10" t="s">
        <v>39</v>
      </c>
      <c r="C1119" s="11">
        <v>45838</v>
      </c>
      <c r="D1119" s="12">
        <v>683349</v>
      </c>
      <c r="E1119" s="5" t="str">
        <f>_xlfn.XLOOKUP(D1119,[1]!Tabela24[Código consultor],[1]!Tabela24[Consultor Venda],0,0,1)</f>
        <v>DIG - CCO - EVELLIN SALOA MAIA DA CONCEICAO</v>
      </c>
      <c r="F1119" s="5" t="str">
        <f>_xlfn.XLOOKUP(D1119,[1]!Tabela24[Código consultor],[1]!Tabela24[Canal Consultor],0,0,1)</f>
        <v>DIGITAL</v>
      </c>
      <c r="G1119" s="10" t="str">
        <f>_xlfn.XLOOKUP(B1119,[1]!Tabela1[[Cidades ]],[1]!Tabela1[Regional],0,0,1)</f>
        <v>Marcio</v>
      </c>
      <c r="H1119" s="13" t="str">
        <f>_xlfn.XLOOKUP(B1119,[1]!Tabela1[[Cidades ]],[1]!Tabela1[Gerente],0,0,1)</f>
        <v>Demais coordenadores</v>
      </c>
    </row>
    <row r="1120" spans="1:8" x14ac:dyDescent="0.3">
      <c r="A1120" s="4" t="s">
        <v>1164</v>
      </c>
      <c r="B1120" s="5" t="s">
        <v>11</v>
      </c>
      <c r="C1120" s="6">
        <v>45838</v>
      </c>
      <c r="D1120" s="7">
        <v>694166</v>
      </c>
      <c r="E1120" s="5" t="str">
        <f>_xlfn.XLOOKUP(D1120,[1]!Tabela24[Código consultor],[1]!Tabela24[Consultor Venda],0,0,1)</f>
        <v>DIG - CCO - CARINE CORREA SOARES</v>
      </c>
      <c r="F1120" s="5" t="str">
        <f>_xlfn.XLOOKUP(D1120,[1]!Tabela24[Código consultor],[1]!Tabela24[Canal Consultor],0,0,1)</f>
        <v>DIGITAL</v>
      </c>
      <c r="G1120" s="5" t="str">
        <f>_xlfn.XLOOKUP(B1120,[1]!Tabela1[[Cidades ]],[1]!Tabela1[Regional],0,0,1)</f>
        <v>Magno</v>
      </c>
      <c r="H1120" s="8" t="str">
        <f>_xlfn.XLOOKUP(B1120,[1]!Tabela1[[Cidades ]],[1]!Tabela1[Gerente],0,0,1)</f>
        <v>Demais coordenadores</v>
      </c>
    </row>
    <row r="1121" spans="1:8" x14ac:dyDescent="0.3">
      <c r="A1121" s="9" t="s">
        <v>1165</v>
      </c>
      <c r="B1121" s="10" t="s">
        <v>22</v>
      </c>
      <c r="C1121" s="11">
        <v>45838</v>
      </c>
      <c r="D1121" s="12">
        <v>882331</v>
      </c>
      <c r="E1121" s="5" t="str">
        <f>_xlfn.XLOOKUP(D1121,[1]!Tabela24[Código consultor],[1]!Tabela24[Consultor Venda],0,0,1)</f>
        <v>DIG - CCO - SABRINA LUIZA BANDEIRA</v>
      </c>
      <c r="F1121" s="5" t="str">
        <f>_xlfn.XLOOKUP(D1121,[1]!Tabela24[Código consultor],[1]!Tabela24[Canal Consultor],0,0,1)</f>
        <v>DIGITAL</v>
      </c>
      <c r="G1121" s="10" t="str">
        <f>_xlfn.XLOOKUP(B1121,[1]!Tabela1[[Cidades ]],[1]!Tabela1[Regional],0,0,1)</f>
        <v>Magno</v>
      </c>
      <c r="H1121" s="13" t="str">
        <f>_xlfn.XLOOKUP(B1121,[1]!Tabela1[[Cidades ]],[1]!Tabela1[Gerente],0,0,1)</f>
        <v>Demais coordenadores</v>
      </c>
    </row>
    <row r="1122" spans="1:8" x14ac:dyDescent="0.3">
      <c r="A1122" s="4" t="s">
        <v>1166</v>
      </c>
      <c r="B1122" s="5" t="s">
        <v>31</v>
      </c>
      <c r="C1122" s="6">
        <v>45838</v>
      </c>
      <c r="D1122" s="7">
        <v>235841</v>
      </c>
      <c r="E1122" s="5" t="str">
        <f>_xlfn.XLOOKUP(D1122,[1]!Tabela24[Código consultor],[1]!Tabela24[Consultor Venda],0,0,1)</f>
        <v>DIG - CCO - KAUANA BONI</v>
      </c>
      <c r="F1122" s="5" t="str">
        <f>_xlfn.XLOOKUP(D1122,[1]!Tabela24[Código consultor],[1]!Tabela24[Canal Consultor],0,0,1)</f>
        <v>DIGITAL</v>
      </c>
      <c r="G1122" s="5" t="str">
        <f>_xlfn.XLOOKUP(B1122,[1]!Tabela1[[Cidades ]],[1]!Tabela1[Regional],0,0,1)</f>
        <v>Maycon</v>
      </c>
      <c r="H1122" s="8" t="str">
        <f>_xlfn.XLOOKUP(B1122,[1]!Tabela1[[Cidades ]],[1]!Tabela1[Gerente],0,0,1)</f>
        <v>Demais coordenadores</v>
      </c>
    </row>
    <row r="1123" spans="1:8" x14ac:dyDescent="0.3">
      <c r="A1123" s="9" t="s">
        <v>1300</v>
      </c>
      <c r="B1123" s="10" t="s">
        <v>31</v>
      </c>
      <c r="C1123" s="11">
        <v>45838</v>
      </c>
      <c r="D1123" s="12">
        <v>694166</v>
      </c>
      <c r="E1123" s="5" t="str">
        <f>_xlfn.XLOOKUP(D1123,[1]!Tabela24[Código consultor],[1]!Tabela24[Consultor Venda],0,0,1)</f>
        <v>DIG - CCO - CARINE CORREA SOARES</v>
      </c>
      <c r="F1123" s="5" t="str">
        <f>_xlfn.XLOOKUP(D1123,[1]!Tabela24[Código consultor],[1]!Tabela24[Canal Consultor],0,0,1)</f>
        <v>DIGITAL</v>
      </c>
      <c r="G1123" s="10" t="str">
        <f>_xlfn.XLOOKUP(B1123,[1]!Tabela1[[Cidades ]],[1]!Tabela1[Regional],0,0,1)</f>
        <v>Maycon</v>
      </c>
      <c r="H1123" s="13" t="str">
        <f>_xlfn.XLOOKUP(B1123,[1]!Tabela1[[Cidades ]],[1]!Tabela1[Gerente],0,0,1)</f>
        <v>Demais coordenadores</v>
      </c>
    </row>
    <row r="1124" spans="1:8" x14ac:dyDescent="0.3">
      <c r="A1124" s="4" t="s">
        <v>1301</v>
      </c>
      <c r="B1124" s="5" t="s">
        <v>81</v>
      </c>
      <c r="C1124" s="6">
        <v>45838</v>
      </c>
      <c r="D1124" s="7">
        <v>485228</v>
      </c>
      <c r="E1124" s="5" t="str">
        <f>_xlfn.XLOOKUP(D1124,[1]!Tabela24[Código consultor],[1]!Tabela24[Consultor Venda],0,0,1)</f>
        <v>COM - UMR - RAFAEL BAZZANELA CARDOSO DE SOUZA</v>
      </c>
      <c r="F1124" s="5" t="str">
        <f>_xlfn.XLOOKUP(D1124,[1]!Tabela24[Código consultor],[1]!Tabela24[Canal Consultor],0,0,1)</f>
        <v>INTERNO</v>
      </c>
      <c r="G1124" s="5" t="str">
        <f>_xlfn.XLOOKUP(B1124,[1]!Tabela1[[Cidades ]],[1]!Tabela1[Regional],0,0,1)</f>
        <v>Adilson</v>
      </c>
      <c r="H1124" s="8" t="str">
        <f>_xlfn.XLOOKUP(B1124,[1]!Tabela1[[Cidades ]],[1]!Tabela1[Gerente],0,0,1)</f>
        <v>Demais coordenadores</v>
      </c>
    </row>
    <row r="1125" spans="1:8" x14ac:dyDescent="0.3">
      <c r="A1125" s="9" t="s">
        <v>1302</v>
      </c>
      <c r="B1125" s="10" t="s">
        <v>81</v>
      </c>
      <c r="C1125" s="11">
        <v>45838</v>
      </c>
      <c r="D1125" s="12">
        <v>485228</v>
      </c>
      <c r="E1125" s="5" t="str">
        <f>_xlfn.XLOOKUP(D1125,[1]!Tabela24[Código consultor],[1]!Tabela24[Consultor Venda],0,0,1)</f>
        <v>COM - UMR - RAFAEL BAZZANELA CARDOSO DE SOUZA</v>
      </c>
      <c r="F1125" s="5" t="str">
        <f>_xlfn.XLOOKUP(D1125,[1]!Tabela24[Código consultor],[1]!Tabela24[Canal Consultor],0,0,1)</f>
        <v>INTERNO</v>
      </c>
      <c r="G1125" s="10" t="str">
        <f>_xlfn.XLOOKUP(B1125,[1]!Tabela1[[Cidades ]],[1]!Tabela1[Regional],0,0,1)</f>
        <v>Adilson</v>
      </c>
      <c r="H1125" s="13" t="str">
        <f>_xlfn.XLOOKUP(B1125,[1]!Tabela1[[Cidades ]],[1]!Tabela1[Gerente],0,0,1)</f>
        <v>Demais coordenadores</v>
      </c>
    </row>
    <row r="1126" spans="1:8" x14ac:dyDescent="0.3">
      <c r="A1126" s="4" t="s">
        <v>1303</v>
      </c>
      <c r="B1126" s="5" t="s">
        <v>13</v>
      </c>
      <c r="C1126" s="6">
        <v>45838</v>
      </c>
      <c r="D1126" s="7">
        <v>235841</v>
      </c>
      <c r="E1126" s="5" t="str">
        <f>_xlfn.XLOOKUP(D1126,[1]!Tabela24[Código consultor],[1]!Tabela24[Consultor Venda],0,0,1)</f>
        <v>DIG - CCO - KAUANA BONI</v>
      </c>
      <c r="F1126" s="5" t="str">
        <f>_xlfn.XLOOKUP(D1126,[1]!Tabela24[Código consultor],[1]!Tabela24[Canal Consultor],0,0,1)</f>
        <v>DIGITAL</v>
      </c>
      <c r="G1126" s="5" t="str">
        <f>_xlfn.XLOOKUP(B1126,[1]!Tabela1[[Cidades ]],[1]!Tabela1[Regional],0,0,1)</f>
        <v>Alisson</v>
      </c>
      <c r="H1126" s="8" t="str">
        <f>_xlfn.XLOOKUP(B1126,[1]!Tabela1[[Cidades ]],[1]!Tabela1[Gerente],0,0,1)</f>
        <v>Ariana</v>
      </c>
    </row>
    <row r="1127" spans="1:8" x14ac:dyDescent="0.3">
      <c r="A1127" s="9" t="s">
        <v>1304</v>
      </c>
      <c r="B1127" s="10" t="s">
        <v>79</v>
      </c>
      <c r="C1127" s="11">
        <v>45838</v>
      </c>
      <c r="D1127" s="12">
        <v>817</v>
      </c>
      <c r="E1127" s="5" t="str">
        <f>_xlfn.XLOOKUP(D1127,[1]!Tabela24[Código consultor],[1]!Tabela24[Consultor Venda],0,0,1)</f>
        <v>PAR - LVH - TEC - CYBER - ADELSON TIBOLLA</v>
      </c>
      <c r="F1127" s="5" t="str">
        <f>_xlfn.XLOOKUP(D1127,[1]!Tabela24[Código consultor],[1]!Tabela24[Canal Consultor],0,0,1)</f>
        <v>PAR</v>
      </c>
      <c r="G1127" s="10" t="str">
        <f>_xlfn.XLOOKUP(B1127,[1]!Tabela1[[Cidades ]],[1]!Tabela1[Regional],0,0,1)</f>
        <v>Alisson</v>
      </c>
      <c r="H1127" s="13" t="str">
        <f>_xlfn.XLOOKUP(B1127,[1]!Tabela1[[Cidades ]],[1]!Tabela1[Gerente],0,0,1)</f>
        <v>Tatiane</v>
      </c>
    </row>
    <row r="1128" spans="1:8" x14ac:dyDescent="0.3">
      <c r="A1128" s="4" t="s">
        <v>1305</v>
      </c>
      <c r="B1128" s="5" t="s">
        <v>31</v>
      </c>
      <c r="C1128" s="6">
        <v>45838</v>
      </c>
      <c r="D1128" s="7">
        <v>600710</v>
      </c>
      <c r="E1128" s="5" t="str">
        <f>_xlfn.XLOOKUP(D1128,[1]!Tabela24[Código consultor],[1]!Tabela24[Consultor Venda],0,0,1)</f>
        <v>DIG - CCO - BRUNA BALBINOTTI</v>
      </c>
      <c r="F1128" s="5" t="str">
        <f>_xlfn.XLOOKUP(D1128,[1]!Tabela24[Código consultor],[1]!Tabela24[Canal Consultor],0,0,1)</f>
        <v>DIGITAL</v>
      </c>
      <c r="G1128" s="5" t="str">
        <f>_xlfn.XLOOKUP(B1128,[1]!Tabela1[[Cidades ]],[1]!Tabela1[Regional],0,0,1)</f>
        <v>Maycon</v>
      </c>
      <c r="H1128" s="8" t="str">
        <f>_xlfn.XLOOKUP(B1128,[1]!Tabela1[[Cidades ]],[1]!Tabela1[Gerente],0,0,1)</f>
        <v>Demais coordenadores</v>
      </c>
    </row>
    <row r="1129" spans="1:8" x14ac:dyDescent="0.3">
      <c r="A1129" s="9" t="s">
        <v>1306</v>
      </c>
      <c r="B1129" s="10" t="s">
        <v>10</v>
      </c>
      <c r="C1129" s="11">
        <v>45838</v>
      </c>
      <c r="D1129" s="12">
        <v>233138</v>
      </c>
      <c r="E1129" s="5" t="str">
        <f>_xlfn.XLOOKUP(D1129,[1]!Tabela24[Código consultor],[1]!Tabela24[Consultor Venda],0,0,1)</f>
        <v>PAR - INTE - GRP - MOBILE HD - ALINE KARNOSKI</v>
      </c>
      <c r="F1129" s="5" t="str">
        <f>_xlfn.XLOOKUP(D1129,[1]!Tabela24[Código consultor],[1]!Tabela24[Canal Consultor],0,0,1)</f>
        <v>PAR</v>
      </c>
      <c r="G1129" s="10" t="str">
        <f>_xlfn.XLOOKUP(B1129,[1]!Tabela1[[Cidades ]],[1]!Tabela1[Regional],0,0,1)</f>
        <v>Jean</v>
      </c>
      <c r="H1129" s="13" t="str">
        <f>_xlfn.XLOOKUP(B1129,[1]!Tabela1[[Cidades ]],[1]!Tabela1[Gerente],0,0,1)</f>
        <v>Demais coordenadores</v>
      </c>
    </row>
    <row r="1130" spans="1:8" x14ac:dyDescent="0.3">
      <c r="A1130" s="4" t="s">
        <v>1307</v>
      </c>
      <c r="B1130" s="5" t="s">
        <v>33</v>
      </c>
      <c r="C1130" s="6">
        <v>45838</v>
      </c>
      <c r="D1130" s="7">
        <v>785577</v>
      </c>
      <c r="E1130" s="5" t="str">
        <f>_xlfn.XLOOKUP(D1130,[1]!Tabela24[Código consultor],[1]!Tabela24[Consultor Venda],0,0,1)</f>
        <v>COM - XXE - LUCIA HELENA RAMOS KOTHE</v>
      </c>
      <c r="F1130" s="5" t="str">
        <f>_xlfn.XLOOKUP(D1130,[1]!Tabela24[Código consultor],[1]!Tabela24[Canal Consultor],0,0,1)</f>
        <v>INTERNO</v>
      </c>
      <c r="G1130" s="5" t="str">
        <f>_xlfn.XLOOKUP(B1130,[1]!Tabela1[[Cidades ]],[1]!Tabela1[Regional],0,0,1)</f>
        <v>Maycon</v>
      </c>
      <c r="H1130" s="8" t="str">
        <f>_xlfn.XLOOKUP(B1130,[1]!Tabela1[[Cidades ]],[1]!Tabela1[Gerente],0,0,1)</f>
        <v>Demais coordenadores</v>
      </c>
    </row>
    <row r="1131" spans="1:8" x14ac:dyDescent="0.3">
      <c r="A1131" s="9" t="s">
        <v>1308</v>
      </c>
      <c r="B1131" s="10" t="s">
        <v>19</v>
      </c>
      <c r="C1131" s="11">
        <v>45838</v>
      </c>
      <c r="D1131" s="12">
        <v>882296</v>
      </c>
      <c r="E1131" s="5" t="str">
        <f>_xlfn.XLOOKUP(D1131,[1]!Tabela24[Código consultor],[1]!Tabela24[Consultor Venda],0,0,1)</f>
        <v>COM - CHN - ANIBAL DE SOUZA NETO</v>
      </c>
      <c r="F1131" s="5" t="str">
        <f>_xlfn.XLOOKUP(D1131,[1]!Tabela24[Código consultor],[1]!Tabela24[Canal Consultor],0,0,1)</f>
        <v>Pap</v>
      </c>
      <c r="G1131" s="10" t="str">
        <f>_xlfn.XLOOKUP(B1131,[1]!Tabela1[[Cidades ]],[1]!Tabela1[Regional],0,0,1)</f>
        <v>Magno</v>
      </c>
      <c r="H1131" s="13" t="str">
        <f>_xlfn.XLOOKUP(B1131,[1]!Tabela1[[Cidades ]],[1]!Tabela1[Gerente],0,0,1)</f>
        <v>Demais coordenadores</v>
      </c>
    </row>
    <row r="1132" spans="1:8" x14ac:dyDescent="0.3">
      <c r="A1132" s="4" t="s">
        <v>1309</v>
      </c>
      <c r="B1132" s="5" t="s">
        <v>39</v>
      </c>
      <c r="C1132" s="6">
        <v>45838</v>
      </c>
      <c r="D1132" s="7">
        <v>547570</v>
      </c>
      <c r="E1132" s="5" t="str">
        <f>_xlfn.XLOOKUP(D1132,[1]!Tabela24[Código consultor],[1]!Tabela24[Consultor Venda],0,0,1)</f>
        <v>COM - LGS - ISABEL CRISTINA RODRIGUES DE JESUS</v>
      </c>
      <c r="F1132" s="5" t="str">
        <f>_xlfn.XLOOKUP(D1132,[1]!Tabela24[Código consultor],[1]!Tabela24[Canal Consultor],0,0,1)</f>
        <v>INTERNO</v>
      </c>
      <c r="G1132" s="5" t="str">
        <f>_xlfn.XLOOKUP(B1132,[1]!Tabela1[[Cidades ]],[1]!Tabela1[Regional],0,0,1)</f>
        <v>Marcio</v>
      </c>
      <c r="H1132" s="8" t="str">
        <f>_xlfn.XLOOKUP(B1132,[1]!Tabela1[[Cidades ]],[1]!Tabela1[Gerente],0,0,1)</f>
        <v>Demais coordenadores</v>
      </c>
    </row>
    <row r="1133" spans="1:8" x14ac:dyDescent="0.3">
      <c r="A1133" s="9" t="s">
        <v>1310</v>
      </c>
      <c r="B1133" s="10" t="s">
        <v>22</v>
      </c>
      <c r="C1133" s="11">
        <v>45838</v>
      </c>
      <c r="D1133" s="12">
        <v>884801</v>
      </c>
      <c r="E1133" s="5" t="str">
        <f>_xlfn.XLOOKUP(D1133,[1]!Tabela24[Código consultor],[1]!Tabela24[Consultor Venda],0,0,1)</f>
        <v>COM - SCR - JOAO UALISON DOS SANTOS SIMIANER</v>
      </c>
      <c r="F1133" s="5" t="str">
        <f>_xlfn.XLOOKUP(D1133,[1]!Tabela24[Código consultor],[1]!Tabela24[Canal Consultor],0,0,1)</f>
        <v>INTERNO</v>
      </c>
      <c r="G1133" s="10" t="str">
        <f>_xlfn.XLOOKUP(B1133,[1]!Tabela1[[Cidades ]],[1]!Tabela1[Regional],0,0,1)</f>
        <v>Magno</v>
      </c>
      <c r="H1133" s="13" t="str">
        <f>_xlfn.XLOOKUP(B1133,[1]!Tabela1[[Cidades ]],[1]!Tabela1[Gerente],0,0,1)</f>
        <v>Demais coordenadores</v>
      </c>
    </row>
    <row r="1134" spans="1:8" x14ac:dyDescent="0.3">
      <c r="A1134" s="4" t="s">
        <v>1172</v>
      </c>
      <c r="B1134" s="5" t="s">
        <v>53</v>
      </c>
      <c r="C1134" s="6">
        <v>45838</v>
      </c>
      <c r="D1134" s="7">
        <v>822704</v>
      </c>
      <c r="E1134" s="5" t="str">
        <f>_xlfn.XLOOKUP(D1134,[1]!Tabela24[Código consultor],[1]!Tabela24[Consultor Venda],0,0,1)</f>
        <v>PAR - PAP - V S MONTEIRO - VINICIUS SILVA MONTEIRO</v>
      </c>
      <c r="F1134" s="5" t="str">
        <f>_xlfn.XLOOKUP(D1134,[1]!Tabela24[Código consultor],[1]!Tabela24[Canal Consultor],0,0,1)</f>
        <v>PAR</v>
      </c>
      <c r="G1134" s="5" t="str">
        <f>_xlfn.XLOOKUP(B1134,[1]!Tabela1[[Cidades ]],[1]!Tabela1[Regional],0,0,1)</f>
        <v>Adilson</v>
      </c>
      <c r="H1134" s="8" t="str">
        <f>_xlfn.XLOOKUP(B1134,[1]!Tabela1[[Cidades ]],[1]!Tabela1[Gerente],0,0,1)</f>
        <v>Demais coordenadores</v>
      </c>
    </row>
    <row r="1135" spans="1:8" x14ac:dyDescent="0.3">
      <c r="A1135" s="9" t="s">
        <v>1311</v>
      </c>
      <c r="B1135" s="10" t="s">
        <v>30</v>
      </c>
      <c r="C1135" s="11">
        <v>45838</v>
      </c>
      <c r="D1135" s="12">
        <v>368409</v>
      </c>
      <c r="E1135" s="5" t="str">
        <f>_xlfn.XLOOKUP(D1135,[1]!Tabela24[Código consultor],[1]!Tabela24[Consultor Venda],0,0,1)</f>
        <v>COM - IGA - GABRIELLE GARCIA DA COSTA</v>
      </c>
      <c r="F1135" s="5" t="str">
        <f>_xlfn.XLOOKUP(D1135,[1]!Tabela24[Código consultor],[1]!Tabela24[Canal Consultor],0,0,1)</f>
        <v>INTERNO</v>
      </c>
      <c r="G1135" s="10" t="str">
        <f>_xlfn.XLOOKUP(B1135,[1]!Tabela1[[Cidades ]],[1]!Tabela1[Regional],0,0,1)</f>
        <v>Jean</v>
      </c>
      <c r="H1135" s="13" t="str">
        <f>_xlfn.XLOOKUP(B1135,[1]!Tabela1[[Cidades ]],[1]!Tabela1[Gerente],0,0,1)</f>
        <v>Demais coordenadores</v>
      </c>
    </row>
    <row r="1136" spans="1:8" x14ac:dyDescent="0.3">
      <c r="A1136" s="4" t="s">
        <v>1312</v>
      </c>
      <c r="B1136" s="5" t="s">
        <v>10</v>
      </c>
      <c r="C1136" s="6">
        <v>45838</v>
      </c>
      <c r="D1136" s="7">
        <v>525458</v>
      </c>
      <c r="E1136" s="5" t="str">
        <f>_xlfn.XLOOKUP(D1136,[1]!Tabela24[Código consultor],[1]!Tabela24[Consultor Venda],0,0,1)</f>
        <v>PAR - ADM - GRP - FIGUEREDO MOBILE  - JOSELIO O. P. JUNIOR</v>
      </c>
      <c r="F1136" s="5" t="str">
        <f>_xlfn.XLOOKUP(D1136,[1]!Tabela24[Código consultor],[1]!Tabela24[Canal Consultor],0,0,1)</f>
        <v>PAR</v>
      </c>
      <c r="G1136" s="5" t="str">
        <f>_xlfn.XLOOKUP(B1136,[1]!Tabela1[[Cidades ]],[1]!Tabela1[Regional],0,0,1)</f>
        <v>Jean</v>
      </c>
      <c r="H1136" s="8" t="str">
        <f>_xlfn.XLOOKUP(B1136,[1]!Tabela1[[Cidades ]],[1]!Tabela1[Gerente],0,0,1)</f>
        <v>Demais coordenadores</v>
      </c>
    </row>
    <row r="1137" spans="1:8" x14ac:dyDescent="0.3">
      <c r="A1137" s="9" t="s">
        <v>1313</v>
      </c>
      <c r="B1137" s="10" t="s">
        <v>11</v>
      </c>
      <c r="C1137" s="11">
        <v>45838</v>
      </c>
      <c r="D1137" s="12">
        <v>653931</v>
      </c>
      <c r="E1137" s="5" t="str">
        <f>_xlfn.XLOOKUP(D1137,[1]!Tabela24[Código consultor],[1]!Tabela24[Consultor Venda],0,0,1)</f>
        <v>COM - CHN - SANTIAGO DA SILVA RODRIGUES</v>
      </c>
      <c r="F1137" s="5" t="str">
        <f>_xlfn.XLOOKUP(D1137,[1]!Tabela24[Código consultor],[1]!Tabela24[Canal Consultor],0,0,1)</f>
        <v>Pap</v>
      </c>
      <c r="G1137" s="10" t="str">
        <f>_xlfn.XLOOKUP(B1137,[1]!Tabela1[[Cidades ]],[1]!Tabela1[Regional],0,0,1)</f>
        <v>Magno</v>
      </c>
      <c r="H1137" s="13" t="str">
        <f>_xlfn.XLOOKUP(B1137,[1]!Tabela1[[Cidades ]],[1]!Tabela1[Gerente],0,0,1)</f>
        <v>Demais coordenadores</v>
      </c>
    </row>
    <row r="1138" spans="1:8" x14ac:dyDescent="0.3">
      <c r="A1138" s="4" t="s">
        <v>1314</v>
      </c>
      <c r="B1138" s="5" t="s">
        <v>76</v>
      </c>
      <c r="C1138" s="6">
        <v>45838</v>
      </c>
      <c r="D1138" s="7">
        <v>870268</v>
      </c>
      <c r="E1138" s="5" t="str">
        <f>_xlfn.XLOOKUP(D1138,[1]!Tabela24[Código consultor],[1]!Tabela24[Consultor Venda],0,0,1)</f>
        <v>COM - CIO - VITORIA LUIZA ALVES PEREIRA DA CRUZ</v>
      </c>
      <c r="F1138" s="5" t="str">
        <f>_xlfn.XLOOKUP(D1138,[1]!Tabela24[Código consultor],[1]!Tabela24[Canal Consultor],0,0,1)</f>
        <v>INTERNO</v>
      </c>
      <c r="G1138" s="5" t="str">
        <f>_xlfn.XLOOKUP(B1138,[1]!Tabela1[[Cidades ]],[1]!Tabela1[Regional],0,0,1)</f>
        <v>Alisson</v>
      </c>
      <c r="H1138" s="8" t="str">
        <f>_xlfn.XLOOKUP(B1138,[1]!Tabela1[[Cidades ]],[1]!Tabela1[Gerente],0,0,1)</f>
        <v>Helena</v>
      </c>
    </row>
    <row r="1139" spans="1:8" x14ac:dyDescent="0.3">
      <c r="A1139" s="9" t="s">
        <v>1179</v>
      </c>
      <c r="B1139" s="10" t="s">
        <v>34</v>
      </c>
      <c r="C1139" s="11">
        <v>45838</v>
      </c>
      <c r="D1139" s="12">
        <v>780589</v>
      </c>
      <c r="E1139" s="5" t="str">
        <f>_xlfn.XLOOKUP(D1139,[1]!Tabela24[Código consultor],[1]!Tabela24[Consultor Venda],0,0,1)</f>
        <v>COM - ERE - FABIANI RIBEIRO DA SILVA</v>
      </c>
      <c r="F1139" s="5" t="str">
        <f>_xlfn.XLOOKUP(D1139,[1]!Tabela24[Código consultor],[1]!Tabela24[Canal Consultor],0,0,1)</f>
        <v>Pap</v>
      </c>
      <c r="G1139" s="10" t="str">
        <f>_xlfn.XLOOKUP(B1139,[1]!Tabela1[[Cidades ]],[1]!Tabela1[Regional],0,0,1)</f>
        <v>Alisson</v>
      </c>
      <c r="H1139" s="13" t="str">
        <f>_xlfn.XLOOKUP(B1139,[1]!Tabela1[[Cidades ]],[1]!Tabela1[Gerente],0,0,1)</f>
        <v>Karine</v>
      </c>
    </row>
    <row r="1140" spans="1:8" x14ac:dyDescent="0.3">
      <c r="A1140" s="4" t="s">
        <v>1315</v>
      </c>
      <c r="B1140" s="5" t="s">
        <v>44</v>
      </c>
      <c r="C1140" s="6">
        <v>45838</v>
      </c>
      <c r="D1140" s="7">
        <v>713743</v>
      </c>
      <c r="E1140" s="5" t="str">
        <f>_xlfn.XLOOKUP(D1140,[1]!Tabela24[Código consultor],[1]!Tabela24[Consultor Venda],0,0,1)</f>
        <v>ATN - IRI - LETICIA RAIANE GORTE MARQUES</v>
      </c>
      <c r="F1140" s="5" t="str">
        <f>_xlfn.XLOOKUP(D1140,[1]!Tabela24[Código consultor],[1]!Tabela24[Canal Consultor],0,0,1)</f>
        <v>INTERNO</v>
      </c>
      <c r="G1140" s="5" t="str">
        <f>_xlfn.XLOOKUP(B1140,[1]!Tabela1[[Cidades ]],[1]!Tabela1[Regional],0,0,1)</f>
        <v>Jean</v>
      </c>
      <c r="H1140" s="8" t="str">
        <f>_xlfn.XLOOKUP(B1140,[1]!Tabela1[[Cidades ]],[1]!Tabela1[Gerente],0,0,1)</f>
        <v>Demais coordenadores</v>
      </c>
    </row>
    <row r="1141" spans="1:8" x14ac:dyDescent="0.3">
      <c r="A1141" s="9" t="s">
        <v>1316</v>
      </c>
      <c r="B1141" s="10" t="s">
        <v>31</v>
      </c>
      <c r="C1141" s="11">
        <v>45838</v>
      </c>
      <c r="D1141" s="12">
        <v>235841</v>
      </c>
      <c r="E1141" s="5" t="str">
        <f>_xlfn.XLOOKUP(D1141,[1]!Tabela24[Código consultor],[1]!Tabela24[Consultor Venda],0,0,1)</f>
        <v>DIG - CCO - KAUANA BONI</v>
      </c>
      <c r="F1141" s="5" t="str">
        <f>_xlfn.XLOOKUP(D1141,[1]!Tabela24[Código consultor],[1]!Tabela24[Canal Consultor],0,0,1)</f>
        <v>DIGITAL</v>
      </c>
      <c r="G1141" s="10" t="str">
        <f>_xlfn.XLOOKUP(B1141,[1]!Tabela1[[Cidades ]],[1]!Tabela1[Regional],0,0,1)</f>
        <v>Maycon</v>
      </c>
      <c r="H1141" s="13" t="str">
        <f>_xlfn.XLOOKUP(B1141,[1]!Tabela1[[Cidades ]],[1]!Tabela1[Gerente],0,0,1)</f>
        <v>Demais coordenadores</v>
      </c>
    </row>
    <row r="1142" spans="1:8" x14ac:dyDescent="0.3">
      <c r="A1142" s="4" t="s">
        <v>1180</v>
      </c>
      <c r="B1142" s="5" t="s">
        <v>46</v>
      </c>
      <c r="C1142" s="6">
        <v>45838</v>
      </c>
      <c r="D1142" s="7">
        <v>46617</v>
      </c>
      <c r="E1142" s="5" t="str">
        <f>_xlfn.XLOOKUP(D1142,[1]!Tabela24[Código consultor],[1]!Tabela24[Consultor Venda],0,0,1)</f>
        <v>COM - BGV - VICTOR MATHEUS MARIUZZA</v>
      </c>
      <c r="F1142" s="5" t="str">
        <f>_xlfn.XLOOKUP(D1142,[1]!Tabela24[Código consultor],[1]!Tabela24[Canal Consultor],0,0,1)</f>
        <v>INTERNO</v>
      </c>
      <c r="G1142" s="5" t="str">
        <f>_xlfn.XLOOKUP(B1142,[1]!Tabela1[[Cidades ]],[1]!Tabela1[Regional],0,0,1)</f>
        <v>Magno</v>
      </c>
      <c r="H1142" s="8" t="str">
        <f>_xlfn.XLOOKUP(B1142,[1]!Tabela1[[Cidades ]],[1]!Tabela1[Gerente],0,0,1)</f>
        <v>Demais coordenadores</v>
      </c>
    </row>
    <row r="1143" spans="1:8" x14ac:dyDescent="0.3">
      <c r="A1143" s="9" t="s">
        <v>1317</v>
      </c>
      <c r="B1143" s="10" t="s">
        <v>19</v>
      </c>
      <c r="C1143" s="11">
        <v>45838</v>
      </c>
      <c r="D1143" s="12">
        <v>725067</v>
      </c>
      <c r="E1143" s="5" t="str">
        <f>_xlfn.XLOOKUP(D1143,[1]!Tabela24[Código consultor],[1]!Tabela24[Consultor Venda],0,0,1)</f>
        <v>COM - CHN - MICHELY SANTOS DOS SANTOS</v>
      </c>
      <c r="F1143" s="5" t="str">
        <f>_xlfn.XLOOKUP(D1143,[1]!Tabela24[Código consultor],[1]!Tabela24[Canal Consultor],0,0,1)</f>
        <v>Pap</v>
      </c>
      <c r="G1143" s="10" t="str">
        <f>_xlfn.XLOOKUP(B1143,[1]!Tabela1[[Cidades ]],[1]!Tabela1[Regional],0,0,1)</f>
        <v>Magno</v>
      </c>
      <c r="H1143" s="13" t="str">
        <f>_xlfn.XLOOKUP(B1143,[1]!Tabela1[[Cidades ]],[1]!Tabela1[Gerente],0,0,1)</f>
        <v>Demais coordenadores</v>
      </c>
    </row>
    <row r="1144" spans="1:8" x14ac:dyDescent="0.3">
      <c r="A1144" s="4" t="s">
        <v>1318</v>
      </c>
      <c r="B1144" s="5" t="s">
        <v>22</v>
      </c>
      <c r="C1144" s="6">
        <v>45838</v>
      </c>
      <c r="D1144" s="7">
        <v>683349</v>
      </c>
      <c r="E1144" s="5" t="str">
        <f>_xlfn.XLOOKUP(D1144,[1]!Tabela24[Código consultor],[1]!Tabela24[Consultor Venda],0,0,1)</f>
        <v>DIG - CCO - EVELLIN SALOA MAIA DA CONCEICAO</v>
      </c>
      <c r="F1144" s="5" t="str">
        <f>_xlfn.XLOOKUP(D1144,[1]!Tabela24[Código consultor],[1]!Tabela24[Canal Consultor],0,0,1)</f>
        <v>DIGITAL</v>
      </c>
      <c r="G1144" s="5" t="str">
        <f>_xlfn.XLOOKUP(B1144,[1]!Tabela1[[Cidades ]],[1]!Tabela1[Regional],0,0,1)</f>
        <v>Magno</v>
      </c>
      <c r="H1144" s="8" t="str">
        <f>_xlfn.XLOOKUP(B1144,[1]!Tabela1[[Cidades ]],[1]!Tabela1[Gerente],0,0,1)</f>
        <v>Demais coordenadores</v>
      </c>
    </row>
    <row r="1145" spans="1:8" x14ac:dyDescent="0.3">
      <c r="A1145" s="9" t="s">
        <v>1185</v>
      </c>
      <c r="B1145" s="10" t="s">
        <v>39</v>
      </c>
      <c r="C1145" s="11">
        <v>45838</v>
      </c>
      <c r="D1145" s="12">
        <v>694166</v>
      </c>
      <c r="E1145" s="5" t="str">
        <f>_xlfn.XLOOKUP(D1145,[1]!Tabela24[Código consultor],[1]!Tabela24[Consultor Venda],0,0,1)</f>
        <v>DIG - CCO - CARINE CORREA SOARES</v>
      </c>
      <c r="F1145" s="5" t="str">
        <f>_xlfn.XLOOKUP(D1145,[1]!Tabela24[Código consultor],[1]!Tabela24[Canal Consultor],0,0,1)</f>
        <v>DIGITAL</v>
      </c>
      <c r="G1145" s="10" t="str">
        <f>_xlfn.XLOOKUP(B1145,[1]!Tabela1[[Cidades ]],[1]!Tabela1[Regional],0,0,1)</f>
        <v>Marcio</v>
      </c>
      <c r="H1145" s="13" t="str">
        <f>_xlfn.XLOOKUP(B1145,[1]!Tabela1[[Cidades ]],[1]!Tabela1[Gerente],0,0,1)</f>
        <v>Demais coordenadores</v>
      </c>
    </row>
    <row r="1146" spans="1:8" x14ac:dyDescent="0.3">
      <c r="A1146" s="4" t="s">
        <v>1319</v>
      </c>
      <c r="B1146" s="5" t="s">
        <v>11</v>
      </c>
      <c r="C1146" s="6">
        <v>45838</v>
      </c>
      <c r="D1146" s="7">
        <v>858843</v>
      </c>
      <c r="E1146" s="5" t="str">
        <f>_xlfn.XLOOKUP(D1146,[1]!Tabela24[Código consultor],[1]!Tabela24[Consultor Venda],0,0,1)</f>
        <v>COM - GTI - LARISSA SILVEIRA DE FRAGA</v>
      </c>
      <c r="F1146" s="5" t="str">
        <f>_xlfn.XLOOKUP(D1146,[1]!Tabela24[Código consultor],[1]!Tabela24[Canal Consultor],0,0,1)</f>
        <v>INTERNO</v>
      </c>
      <c r="G1146" s="5" t="str">
        <f>_xlfn.XLOOKUP(B1146,[1]!Tabela1[[Cidades ]],[1]!Tabela1[Regional],0,0,1)</f>
        <v>Magno</v>
      </c>
      <c r="H1146" s="8" t="str">
        <f>_xlfn.XLOOKUP(B1146,[1]!Tabela1[[Cidades ]],[1]!Tabela1[Gerente],0,0,1)</f>
        <v>Demais coordenadores</v>
      </c>
    </row>
    <row r="1147" spans="1:8" x14ac:dyDescent="0.3">
      <c r="A1147" s="9" t="s">
        <v>1320</v>
      </c>
      <c r="B1147" s="10" t="s">
        <v>34</v>
      </c>
      <c r="C1147" s="11">
        <v>45838</v>
      </c>
      <c r="D1147" s="12">
        <v>617463</v>
      </c>
      <c r="E1147" s="5" t="str">
        <f>_xlfn.XLOOKUP(D1147,[1]!Tabela24[Código consultor],[1]!Tabela24[Consultor Venda],0,0,1)</f>
        <v>DIG - CCO - ALEX AUGUSTO DA CRUZ RODRIGUES</v>
      </c>
      <c r="F1147" s="5" t="str">
        <f>_xlfn.XLOOKUP(D1147,[1]!Tabela24[Código consultor],[1]!Tabela24[Canal Consultor],0,0,1)</f>
        <v>DIGITAL</v>
      </c>
      <c r="G1147" s="10" t="str">
        <f>_xlfn.XLOOKUP(B1147,[1]!Tabela1[[Cidades ]],[1]!Tabela1[Regional],0,0,1)</f>
        <v>Alisson</v>
      </c>
      <c r="H1147" s="13" t="str">
        <f>_xlfn.XLOOKUP(B1147,[1]!Tabela1[[Cidades ]],[1]!Tabela1[Gerente],0,0,1)</f>
        <v>Karine</v>
      </c>
    </row>
    <row r="1148" spans="1:8" x14ac:dyDescent="0.3">
      <c r="A1148" s="4" t="s">
        <v>1321</v>
      </c>
      <c r="B1148" s="5" t="s">
        <v>74</v>
      </c>
      <c r="C1148" s="6">
        <v>45838</v>
      </c>
      <c r="D1148" s="7">
        <v>788656</v>
      </c>
      <c r="E1148" s="5" t="str">
        <f>_xlfn.XLOOKUP(D1148,[1]!Tabela24[Código consultor],[1]!Tabela24[Consultor Venda],0,0,1)</f>
        <v>PAR - STB - PAP - JOY TELECOM - GABRIELA ALVES DE GODOY</v>
      </c>
      <c r="F1148" s="5" t="str">
        <f>_xlfn.XLOOKUP(D1148,[1]!Tabela24[Código consultor],[1]!Tabela24[Canal Consultor],0,0,1)</f>
        <v>PAR_DIG</v>
      </c>
      <c r="G1148" s="5" t="str">
        <f>_xlfn.XLOOKUP(B1148,[1]!Tabela1[[Cidades ]],[1]!Tabela1[Regional],0,0,1)</f>
        <v>Jean</v>
      </c>
      <c r="H1148" s="8" t="str">
        <f>_xlfn.XLOOKUP(B1148,[1]!Tabela1[[Cidades ]],[1]!Tabela1[Gerente],0,0,1)</f>
        <v>Demais coordenadores</v>
      </c>
    </row>
    <row r="1149" spans="1:8" x14ac:dyDescent="0.3">
      <c r="A1149" s="9" t="s">
        <v>1322</v>
      </c>
      <c r="B1149" s="10" t="s">
        <v>59</v>
      </c>
      <c r="C1149" s="11">
        <v>45838</v>
      </c>
      <c r="D1149" s="12">
        <v>788656</v>
      </c>
      <c r="E1149" s="5" t="str">
        <f>_xlfn.XLOOKUP(D1149,[1]!Tabela24[Código consultor],[1]!Tabela24[Consultor Venda],0,0,1)</f>
        <v>PAR - STB - PAP - JOY TELECOM - GABRIELA ALVES DE GODOY</v>
      </c>
      <c r="F1149" s="5" t="str">
        <f>_xlfn.XLOOKUP(D1149,[1]!Tabela24[Código consultor],[1]!Tabela24[Canal Consultor],0,0,1)</f>
        <v>PAR_DIG</v>
      </c>
      <c r="G1149" s="10" t="str">
        <f>_xlfn.XLOOKUP(B1149,[1]!Tabela1[[Cidades ]],[1]!Tabela1[Regional],0,0,1)</f>
        <v>Adilson</v>
      </c>
      <c r="H1149" s="13" t="str">
        <f>_xlfn.XLOOKUP(B1149,[1]!Tabela1[[Cidades ]],[1]!Tabela1[Gerente],0,0,1)</f>
        <v>Demais coordenadores</v>
      </c>
    </row>
    <row r="1150" spans="1:8" x14ac:dyDescent="0.3">
      <c r="A1150" s="4" t="s">
        <v>1187</v>
      </c>
      <c r="B1150" s="5" t="s">
        <v>53</v>
      </c>
      <c r="C1150" s="6">
        <v>45838</v>
      </c>
      <c r="D1150" s="7">
        <v>689070</v>
      </c>
      <c r="E1150" s="5" t="str">
        <f>_xlfn.XLOOKUP(D1150,[1]!Tabela24[Código consultor],[1]!Tabela24[Consultor Venda],0,0,1)</f>
        <v>COM - DOS - CAMILE SANTOS DA SILVA</v>
      </c>
      <c r="F1150" s="5" t="str">
        <f>_xlfn.XLOOKUP(D1150,[1]!Tabela24[Código consultor],[1]!Tabela24[Canal Consultor],0,0,1)</f>
        <v>INTERNO</v>
      </c>
      <c r="G1150" s="5" t="str">
        <f>_xlfn.XLOOKUP(B1150,[1]!Tabela1[[Cidades ]],[1]!Tabela1[Regional],0,0,1)</f>
        <v>Adilson</v>
      </c>
      <c r="H1150" s="8" t="str">
        <f>_xlfn.XLOOKUP(B1150,[1]!Tabela1[[Cidades ]],[1]!Tabela1[Gerente],0,0,1)</f>
        <v>Demais coordenadores</v>
      </c>
    </row>
    <row r="1151" spans="1:8" x14ac:dyDescent="0.3">
      <c r="A1151" s="9" t="s">
        <v>1188</v>
      </c>
      <c r="B1151" s="10" t="s">
        <v>19</v>
      </c>
      <c r="C1151" s="11">
        <v>45838</v>
      </c>
      <c r="D1151" s="12">
        <v>878848</v>
      </c>
      <c r="E1151" s="5" t="str">
        <f>_xlfn.XLOOKUP(D1151,[1]!Tabela24[Código consultor],[1]!Tabela24[Consultor Venda],0,0,1)</f>
        <v>COM - CHN - MATHEUS ALFREDO MACEDO</v>
      </c>
      <c r="F1151" s="5" t="str">
        <f>_xlfn.XLOOKUP(D1151,[1]!Tabela24[Código consultor],[1]!Tabela24[Canal Consultor],0,0,1)</f>
        <v>Pap</v>
      </c>
      <c r="G1151" s="10" t="str">
        <f>_xlfn.XLOOKUP(B1151,[1]!Tabela1[[Cidades ]],[1]!Tabela1[Regional],0,0,1)</f>
        <v>Magno</v>
      </c>
      <c r="H1151" s="13" t="str">
        <f>_xlfn.XLOOKUP(B1151,[1]!Tabela1[[Cidades ]],[1]!Tabela1[Gerente],0,0,1)</f>
        <v>Demais coordenadores</v>
      </c>
    </row>
    <row r="1152" spans="1:8" x14ac:dyDescent="0.3">
      <c r="A1152" s="4" t="s">
        <v>1323</v>
      </c>
      <c r="B1152" s="5" t="s">
        <v>53</v>
      </c>
      <c r="C1152" s="6">
        <v>45838</v>
      </c>
      <c r="D1152" s="7">
        <v>689070</v>
      </c>
      <c r="E1152" s="5" t="str">
        <f>_xlfn.XLOOKUP(D1152,[1]!Tabela24[Código consultor],[1]!Tabela24[Consultor Venda],0,0,1)</f>
        <v>COM - DOS - CAMILE SANTOS DA SILVA</v>
      </c>
      <c r="F1152" s="5" t="str">
        <f>_xlfn.XLOOKUP(D1152,[1]!Tabela24[Código consultor],[1]!Tabela24[Canal Consultor],0,0,1)</f>
        <v>INTERNO</v>
      </c>
      <c r="G1152" s="5" t="str">
        <f>_xlfn.XLOOKUP(B1152,[1]!Tabela1[[Cidades ]],[1]!Tabela1[Regional],0,0,1)</f>
        <v>Adilson</v>
      </c>
      <c r="H1152" s="8" t="str">
        <f>_xlfn.XLOOKUP(B1152,[1]!Tabela1[[Cidades ]],[1]!Tabela1[Gerente],0,0,1)</f>
        <v>Demais coordenadores</v>
      </c>
    </row>
    <row r="1153" spans="1:8" x14ac:dyDescent="0.3">
      <c r="A1153" s="9" t="s">
        <v>1324</v>
      </c>
      <c r="B1153" s="10" t="s">
        <v>30</v>
      </c>
      <c r="C1153" s="11">
        <v>45838</v>
      </c>
      <c r="D1153" s="12">
        <v>617463</v>
      </c>
      <c r="E1153" s="5" t="str">
        <f>_xlfn.XLOOKUP(D1153,[1]!Tabela24[Código consultor],[1]!Tabela24[Consultor Venda],0,0,1)</f>
        <v>DIG - CCO - ALEX AUGUSTO DA CRUZ RODRIGUES</v>
      </c>
      <c r="F1153" s="5" t="str">
        <f>_xlfn.XLOOKUP(D1153,[1]!Tabela24[Código consultor],[1]!Tabela24[Canal Consultor],0,0,1)</f>
        <v>DIGITAL</v>
      </c>
      <c r="G1153" s="10" t="str">
        <f>_xlfn.XLOOKUP(B1153,[1]!Tabela1[[Cidades ]],[1]!Tabela1[Regional],0,0,1)</f>
        <v>Jean</v>
      </c>
      <c r="H1153" s="13" t="str">
        <f>_xlfn.XLOOKUP(B1153,[1]!Tabela1[[Cidades ]],[1]!Tabela1[Gerente],0,0,1)</f>
        <v>Demais coordenadores</v>
      </c>
    </row>
    <row r="1154" spans="1:8" x14ac:dyDescent="0.3">
      <c r="A1154" s="4" t="s">
        <v>1324</v>
      </c>
      <c r="B1154" s="5" t="s">
        <v>30</v>
      </c>
      <c r="C1154" s="6">
        <v>45838</v>
      </c>
      <c r="D1154" s="7">
        <v>617463</v>
      </c>
      <c r="E1154" s="5" t="str">
        <f>_xlfn.XLOOKUP(D1154,[1]!Tabela24[Código consultor],[1]!Tabela24[Consultor Venda],0,0,1)</f>
        <v>DIG - CCO - ALEX AUGUSTO DA CRUZ RODRIGUES</v>
      </c>
      <c r="F1154" s="5" t="str">
        <f>_xlfn.XLOOKUP(D1154,[1]!Tabela24[Código consultor],[1]!Tabela24[Canal Consultor],0,0,1)</f>
        <v>DIGITAL</v>
      </c>
      <c r="G1154" s="5" t="str">
        <f>_xlfn.XLOOKUP(B1154,[1]!Tabela1[[Cidades ]],[1]!Tabela1[Regional],0,0,1)</f>
        <v>Jean</v>
      </c>
      <c r="H1154" s="8" t="str">
        <f>_xlfn.XLOOKUP(B1154,[1]!Tabela1[[Cidades ]],[1]!Tabela1[Gerente],0,0,1)</f>
        <v>Demais coordenadores</v>
      </c>
    </row>
    <row r="1155" spans="1:8" x14ac:dyDescent="0.3">
      <c r="A1155" s="9" t="s">
        <v>1189</v>
      </c>
      <c r="B1155" s="10" t="s">
        <v>19</v>
      </c>
      <c r="C1155" s="11">
        <v>45838</v>
      </c>
      <c r="D1155" s="12">
        <v>165769</v>
      </c>
      <c r="E1155" s="5" t="str">
        <f>_xlfn.XLOOKUP(D1155,[1]!Tabela24[Código consultor],[1]!Tabela24[Consultor Venda],0,0,1)</f>
        <v>PAR - PAP - GTI - THALIA SP - THALIA DA SILVA PEREIRA</v>
      </c>
      <c r="F1155" s="5" t="str">
        <f>_xlfn.XLOOKUP(D1155,[1]!Tabela24[Código consultor],[1]!Tabela24[Canal Consultor],0,0,1)</f>
        <v>PAR</v>
      </c>
      <c r="G1155" s="10" t="str">
        <f>_xlfn.XLOOKUP(B1155,[1]!Tabela1[[Cidades ]],[1]!Tabela1[Regional],0,0,1)</f>
        <v>Magno</v>
      </c>
      <c r="H1155" s="13" t="str">
        <f>_xlfn.XLOOKUP(B1155,[1]!Tabela1[[Cidades ]],[1]!Tabela1[Gerente],0,0,1)</f>
        <v>Demais coordenadores</v>
      </c>
    </row>
    <row r="1156" spans="1:8" x14ac:dyDescent="0.3">
      <c r="A1156" s="4" t="s">
        <v>1190</v>
      </c>
      <c r="B1156" s="5" t="s">
        <v>31</v>
      </c>
      <c r="C1156" s="6">
        <v>45838</v>
      </c>
      <c r="D1156" s="7">
        <v>617463</v>
      </c>
      <c r="E1156" s="5" t="str">
        <f>_xlfn.XLOOKUP(D1156,[1]!Tabela24[Código consultor],[1]!Tabela24[Consultor Venda],0,0,1)</f>
        <v>DIG - CCO - ALEX AUGUSTO DA CRUZ RODRIGUES</v>
      </c>
      <c r="F1156" s="5" t="str">
        <f>_xlfn.XLOOKUP(D1156,[1]!Tabela24[Código consultor],[1]!Tabela24[Canal Consultor],0,0,1)</f>
        <v>DIGITAL</v>
      </c>
      <c r="G1156" s="5" t="str">
        <f>_xlfn.XLOOKUP(B1156,[1]!Tabela1[[Cidades ]],[1]!Tabela1[Regional],0,0,1)</f>
        <v>Maycon</v>
      </c>
      <c r="H1156" s="8" t="str">
        <f>_xlfn.XLOOKUP(B1156,[1]!Tabela1[[Cidades ]],[1]!Tabela1[Gerente],0,0,1)</f>
        <v>Demais coordenadores</v>
      </c>
    </row>
    <row r="1157" spans="1:8" x14ac:dyDescent="0.3">
      <c r="A1157" s="9" t="s">
        <v>1325</v>
      </c>
      <c r="B1157" s="10" t="s">
        <v>31</v>
      </c>
      <c r="C1157" s="11">
        <v>45838</v>
      </c>
      <c r="D1157" s="12">
        <v>235841</v>
      </c>
      <c r="E1157" s="5" t="str">
        <f>_xlfn.XLOOKUP(D1157,[1]!Tabela24[Código consultor],[1]!Tabela24[Consultor Venda],0,0,1)</f>
        <v>DIG - CCO - KAUANA BONI</v>
      </c>
      <c r="F1157" s="5" t="str">
        <f>_xlfn.XLOOKUP(D1157,[1]!Tabela24[Código consultor],[1]!Tabela24[Canal Consultor],0,0,1)</f>
        <v>DIGITAL</v>
      </c>
      <c r="G1157" s="10" t="str">
        <f>_xlfn.XLOOKUP(B1157,[1]!Tabela1[[Cidades ]],[1]!Tabela1[Regional],0,0,1)</f>
        <v>Maycon</v>
      </c>
      <c r="H1157" s="13" t="str">
        <f>_xlfn.XLOOKUP(B1157,[1]!Tabela1[[Cidades ]],[1]!Tabela1[Gerente],0,0,1)</f>
        <v>Demais coordenadores</v>
      </c>
    </row>
    <row r="1158" spans="1:8" x14ac:dyDescent="0.3">
      <c r="A1158" s="4" t="s">
        <v>1194</v>
      </c>
      <c r="B1158" s="5" t="s">
        <v>10</v>
      </c>
      <c r="C1158" s="6">
        <v>45838</v>
      </c>
      <c r="D1158" s="7">
        <v>233138</v>
      </c>
      <c r="E1158" s="5" t="str">
        <f>_xlfn.XLOOKUP(D1158,[1]!Tabela24[Código consultor],[1]!Tabela24[Consultor Venda],0,0,1)</f>
        <v>PAR - INTE - GRP - MOBILE HD - ALINE KARNOSKI</v>
      </c>
      <c r="F1158" s="5" t="str">
        <f>_xlfn.XLOOKUP(D1158,[1]!Tabela24[Código consultor],[1]!Tabela24[Canal Consultor],0,0,1)</f>
        <v>PAR</v>
      </c>
      <c r="G1158" s="5" t="str">
        <f>_xlfn.XLOOKUP(B1158,[1]!Tabela1[[Cidades ]],[1]!Tabela1[Regional],0,0,1)</f>
        <v>Jean</v>
      </c>
      <c r="H1158" s="8" t="str">
        <f>_xlfn.XLOOKUP(B1158,[1]!Tabela1[[Cidades ]],[1]!Tabela1[Gerente],0,0,1)</f>
        <v>Demais coordenadores</v>
      </c>
    </row>
    <row r="1159" spans="1:8" x14ac:dyDescent="0.3">
      <c r="A1159" s="9" t="s">
        <v>1326</v>
      </c>
      <c r="B1159" s="10" t="s">
        <v>60</v>
      </c>
      <c r="C1159" s="11">
        <v>45838</v>
      </c>
      <c r="D1159" s="12">
        <v>600710</v>
      </c>
      <c r="E1159" s="5" t="str">
        <f>_xlfn.XLOOKUP(D1159,[1]!Tabela24[Código consultor],[1]!Tabela24[Consultor Venda],0,0,1)</f>
        <v>DIG - CCO - BRUNA BALBINOTTI</v>
      </c>
      <c r="F1159" s="5" t="str">
        <f>_xlfn.XLOOKUP(D1159,[1]!Tabela24[Código consultor],[1]!Tabela24[Canal Consultor],0,0,1)</f>
        <v>DIGITAL</v>
      </c>
      <c r="G1159" s="10" t="str">
        <f>_xlfn.XLOOKUP(B1159,[1]!Tabela1[[Cidades ]],[1]!Tabela1[Regional],0,0,1)</f>
        <v>Magno</v>
      </c>
      <c r="H1159" s="13" t="str">
        <f>_xlfn.XLOOKUP(B1159,[1]!Tabela1[[Cidades ]],[1]!Tabela1[Gerente],0,0,1)</f>
        <v>Demais coordenadores</v>
      </c>
    </row>
    <row r="1160" spans="1:8" x14ac:dyDescent="0.3">
      <c r="A1160" s="4" t="s">
        <v>1195</v>
      </c>
      <c r="B1160" s="5" t="s">
        <v>35</v>
      </c>
      <c r="C1160" s="6">
        <v>45838</v>
      </c>
      <c r="D1160" s="7">
        <v>617463</v>
      </c>
      <c r="E1160" s="5" t="str">
        <f>_xlfn.XLOOKUP(D1160,[1]!Tabela24[Código consultor],[1]!Tabela24[Consultor Venda],0,0,1)</f>
        <v>DIG - CCO - ALEX AUGUSTO DA CRUZ RODRIGUES</v>
      </c>
      <c r="F1160" s="5" t="str">
        <f>_xlfn.XLOOKUP(D1160,[1]!Tabela24[Código consultor],[1]!Tabela24[Canal Consultor],0,0,1)</f>
        <v>DIGITAL</v>
      </c>
      <c r="G1160" s="5" t="str">
        <f>_xlfn.XLOOKUP(B1160,[1]!Tabela1[[Cidades ]],[1]!Tabela1[Regional],0,0,1)</f>
        <v>Magno</v>
      </c>
      <c r="H1160" s="8" t="str">
        <f>_xlfn.XLOOKUP(B1160,[1]!Tabela1[[Cidades ]],[1]!Tabela1[Gerente],0,0,1)</f>
        <v>Demais coordenadores</v>
      </c>
    </row>
    <row r="1161" spans="1:8" x14ac:dyDescent="0.3">
      <c r="A1161" s="9" t="s">
        <v>1196</v>
      </c>
      <c r="B1161" s="10" t="s">
        <v>60</v>
      </c>
      <c r="C1161" s="11">
        <v>45838</v>
      </c>
      <c r="D1161" s="12">
        <v>861705</v>
      </c>
      <c r="E1161" s="5" t="str">
        <f>_xlfn.XLOOKUP(D1161,[1]!Tabela24[Código consultor],[1]!Tabela24[Consultor Venda],0,0,1)</f>
        <v>PAR - COM - PAP - TQR - ERIKA DE OLIVEIRA GALLE</v>
      </c>
      <c r="F1161" s="5" t="str">
        <f>_xlfn.XLOOKUP(D1161,[1]!Tabela24[Código consultor],[1]!Tabela24[Canal Consultor],0,0,1)</f>
        <v>PAR</v>
      </c>
      <c r="G1161" s="10" t="str">
        <f>_xlfn.XLOOKUP(B1161,[1]!Tabela1[[Cidades ]],[1]!Tabela1[Regional],0,0,1)</f>
        <v>Magno</v>
      </c>
      <c r="H1161" s="13" t="str">
        <f>_xlfn.XLOOKUP(B1161,[1]!Tabela1[[Cidades ]],[1]!Tabela1[Gerente],0,0,1)</f>
        <v>Demais coordenadores</v>
      </c>
    </row>
    <row r="1162" spans="1:8" x14ac:dyDescent="0.3">
      <c r="A1162" s="4" t="s">
        <v>1327</v>
      </c>
      <c r="B1162" s="5" t="s">
        <v>8</v>
      </c>
      <c r="C1162" s="6">
        <v>45838</v>
      </c>
      <c r="D1162" s="7">
        <v>725079</v>
      </c>
      <c r="E1162" s="5" t="str">
        <f>_xlfn.XLOOKUP(D1162,[1]!Tabela24[Código consultor],[1]!Tabela24[Consultor Venda],0,0,1)</f>
        <v>COM - UMR  - WENDY CAROLINE PELEGRINI</v>
      </c>
      <c r="F1162" s="5" t="str">
        <f>_xlfn.XLOOKUP(D1162,[1]!Tabela24[Código consultor],[1]!Tabela24[Canal Consultor],0,0,1)</f>
        <v>INTERNO</v>
      </c>
      <c r="G1162" s="5" t="str">
        <f>_xlfn.XLOOKUP(B1162,[1]!Tabela1[[Cidades ]],[1]!Tabela1[Regional],0,0,1)</f>
        <v>Adilson</v>
      </c>
      <c r="H1162" s="8" t="str">
        <f>_xlfn.XLOOKUP(B1162,[1]!Tabela1[[Cidades ]],[1]!Tabela1[Gerente],0,0,1)</f>
        <v>Demais coordenadores</v>
      </c>
    </row>
    <row r="1163" spans="1:8" x14ac:dyDescent="0.3">
      <c r="A1163" s="9" t="s">
        <v>1198</v>
      </c>
      <c r="B1163" s="10" t="s">
        <v>37</v>
      </c>
      <c r="C1163" s="11">
        <v>45838</v>
      </c>
      <c r="D1163" s="12">
        <v>886641</v>
      </c>
      <c r="E1163" s="5" t="str">
        <f>_xlfn.XLOOKUP(D1163,[1]!Tabela24[Código consultor],[1]!Tabela24[Consultor Venda],0,0,1)</f>
        <v>COM - SOC - RAPHAEL VITORINO RIBEIRO</v>
      </c>
      <c r="F1163" s="5" t="str">
        <f>_xlfn.XLOOKUP(D1163,[1]!Tabela24[Código consultor],[1]!Tabela24[Canal Consultor],0,0,1)</f>
        <v>Pap</v>
      </c>
      <c r="G1163" s="10" t="str">
        <f>_xlfn.XLOOKUP(B1163,[1]!Tabela1[[Cidades ]],[1]!Tabela1[Regional],0,0,1)</f>
        <v>Jean</v>
      </c>
      <c r="H1163" s="13" t="str">
        <f>_xlfn.XLOOKUP(B1163,[1]!Tabela1[[Cidades ]],[1]!Tabela1[Gerente],0,0,1)</f>
        <v>Demais coordenadores</v>
      </c>
    </row>
    <row r="1164" spans="1:8" x14ac:dyDescent="0.3">
      <c r="A1164" s="4" t="s">
        <v>1328</v>
      </c>
      <c r="B1164" s="5" t="s">
        <v>13</v>
      </c>
      <c r="C1164" s="6">
        <v>45838</v>
      </c>
      <c r="D1164" s="7">
        <v>683349</v>
      </c>
      <c r="E1164" s="5" t="str">
        <f>_xlfn.XLOOKUP(D1164,[1]!Tabela24[Código consultor],[1]!Tabela24[Consultor Venda],0,0,1)</f>
        <v>DIG - CCO - EVELLIN SALOA MAIA DA CONCEICAO</v>
      </c>
      <c r="F1164" s="5" t="str">
        <f>_xlfn.XLOOKUP(D1164,[1]!Tabela24[Código consultor],[1]!Tabela24[Canal Consultor],0,0,1)</f>
        <v>DIGITAL</v>
      </c>
      <c r="G1164" s="5" t="str">
        <f>_xlfn.XLOOKUP(B1164,[1]!Tabela1[[Cidades ]],[1]!Tabela1[Regional],0,0,1)</f>
        <v>Alisson</v>
      </c>
      <c r="H1164" s="8" t="str">
        <f>_xlfn.XLOOKUP(B1164,[1]!Tabela1[[Cidades ]],[1]!Tabela1[Gerente],0,0,1)</f>
        <v>Ariana</v>
      </c>
    </row>
    <row r="1165" spans="1:8" x14ac:dyDescent="0.3">
      <c r="A1165" s="9" t="s">
        <v>1329</v>
      </c>
      <c r="B1165" s="10" t="s">
        <v>76</v>
      </c>
      <c r="C1165" s="11">
        <v>45838</v>
      </c>
      <c r="D1165" s="12">
        <v>764935</v>
      </c>
      <c r="E1165" s="5" t="str">
        <f>_xlfn.XLOOKUP(D1165,[1]!Tabela24[Código consultor],[1]!Tabela24[Consultor Venda],0,0,1)</f>
        <v>O&amp;M - CIO - TEC - ROGER EZEQUIEL DE ALMEIDA</v>
      </c>
      <c r="F1165" s="5" t="str">
        <f>_xlfn.XLOOKUP(D1165,[1]!Tabela24[Código consultor],[1]!Tabela24[Canal Consultor],0,0,1)</f>
        <v>ADM Interno</v>
      </c>
      <c r="G1165" s="10" t="str">
        <f>_xlfn.XLOOKUP(B1165,[1]!Tabela1[[Cidades ]],[1]!Tabela1[Regional],0,0,1)</f>
        <v>Alisson</v>
      </c>
      <c r="H1165" s="13" t="str">
        <f>_xlfn.XLOOKUP(B1165,[1]!Tabela1[[Cidades ]],[1]!Tabela1[Gerente],0,0,1)</f>
        <v>Helena</v>
      </c>
    </row>
    <row r="1166" spans="1:8" x14ac:dyDescent="0.3">
      <c r="A1166" s="4" t="s">
        <v>1330</v>
      </c>
      <c r="B1166" s="5" t="s">
        <v>79</v>
      </c>
      <c r="C1166" s="6">
        <v>45838</v>
      </c>
      <c r="D1166" s="7">
        <v>683349</v>
      </c>
      <c r="E1166" s="5" t="str">
        <f>_xlfn.XLOOKUP(D1166,[1]!Tabela24[Código consultor],[1]!Tabela24[Consultor Venda],0,0,1)</f>
        <v>DIG - CCO - EVELLIN SALOA MAIA DA CONCEICAO</v>
      </c>
      <c r="F1166" s="5" t="str">
        <f>_xlfn.XLOOKUP(D1166,[1]!Tabela24[Código consultor],[1]!Tabela24[Canal Consultor],0,0,1)</f>
        <v>DIGITAL</v>
      </c>
      <c r="G1166" s="5" t="str">
        <f>_xlfn.XLOOKUP(B1166,[1]!Tabela1[[Cidades ]],[1]!Tabela1[Regional],0,0,1)</f>
        <v>Alisson</v>
      </c>
      <c r="H1166" s="8" t="str">
        <f>_xlfn.XLOOKUP(B1166,[1]!Tabela1[[Cidades ]],[1]!Tabela1[Gerente],0,0,1)</f>
        <v>Tatiane</v>
      </c>
    </row>
    <row r="1167" spans="1:8" x14ac:dyDescent="0.3">
      <c r="A1167" s="9" t="s">
        <v>1205</v>
      </c>
      <c r="B1167" s="10" t="s">
        <v>23</v>
      </c>
      <c r="C1167" s="11">
        <v>45838</v>
      </c>
      <c r="D1167" s="12">
        <v>652640</v>
      </c>
      <c r="E1167" s="5" t="str">
        <f>_xlfn.XLOOKUP(D1167,[1]!Tabela24[Código consultor],[1]!Tabela24[Consultor Venda],0,0,1)</f>
        <v>COM - CAN - ANDRIELE DA SILVA RANGEL</v>
      </c>
      <c r="F1167" s="5" t="str">
        <f>_xlfn.XLOOKUP(D1167,[1]!Tabela24[Código consultor],[1]!Tabela24[Canal Consultor],0,0,1)</f>
        <v>Pap</v>
      </c>
      <c r="G1167" s="10" t="str">
        <f>_xlfn.XLOOKUP(B1167,[1]!Tabela1[[Cidades ]],[1]!Tabela1[Regional],0,0,1)</f>
        <v>Magno</v>
      </c>
      <c r="H1167" s="13" t="str">
        <f>_xlfn.XLOOKUP(B1167,[1]!Tabela1[[Cidades ]],[1]!Tabela1[Gerente],0,0,1)</f>
        <v>Demais coordenadores</v>
      </c>
    </row>
    <row r="1168" spans="1:8" x14ac:dyDescent="0.3">
      <c r="A1168" s="4" t="s">
        <v>1331</v>
      </c>
      <c r="B1168" s="5" t="s">
        <v>99</v>
      </c>
      <c r="C1168" s="6">
        <v>45838</v>
      </c>
      <c r="D1168" s="7">
        <v>617463</v>
      </c>
      <c r="E1168" s="5" t="str">
        <f>_xlfn.XLOOKUP(D1168,[1]!Tabela24[Código consultor],[1]!Tabela24[Consultor Venda],0,0,1)</f>
        <v>DIG - CCO - ALEX AUGUSTO DA CRUZ RODRIGUES</v>
      </c>
      <c r="F1168" s="5" t="str">
        <f>_xlfn.XLOOKUP(D1168,[1]!Tabela24[Código consultor],[1]!Tabela24[Canal Consultor],0,0,1)</f>
        <v>DIGITAL</v>
      </c>
      <c r="G1168" s="5" t="str">
        <f>_xlfn.XLOOKUP(B1168,[1]!Tabela1[[Cidades ]],[1]!Tabela1[Regional],0,0,1)</f>
        <v>Adilson</v>
      </c>
      <c r="H1168" s="8" t="str">
        <f>_xlfn.XLOOKUP(B1168,[1]!Tabela1[[Cidades ]],[1]!Tabela1[Gerente],0,0,1)</f>
        <v>Demais coordenadores</v>
      </c>
    </row>
    <row r="1169" spans="1:8" x14ac:dyDescent="0.3">
      <c r="A1169" s="9" t="s">
        <v>1332</v>
      </c>
      <c r="B1169" s="10" t="s">
        <v>10</v>
      </c>
      <c r="C1169" s="11">
        <v>45838</v>
      </c>
      <c r="D1169" s="12">
        <v>525458</v>
      </c>
      <c r="E1169" s="5" t="str">
        <f>_xlfn.XLOOKUP(D1169,[1]!Tabela24[Código consultor],[1]!Tabela24[Consultor Venda],0,0,1)</f>
        <v>PAR - ADM - GRP - FIGUEREDO MOBILE  - JOSELIO O. P. JUNIOR</v>
      </c>
      <c r="F1169" s="5" t="str">
        <f>_xlfn.XLOOKUP(D1169,[1]!Tabela24[Código consultor],[1]!Tabela24[Canal Consultor],0,0,1)</f>
        <v>PAR</v>
      </c>
      <c r="G1169" s="10" t="str">
        <f>_xlfn.XLOOKUP(B1169,[1]!Tabela1[[Cidades ]],[1]!Tabela1[Regional],0,0,1)</f>
        <v>Jean</v>
      </c>
      <c r="H1169" s="13" t="str">
        <f>_xlfn.XLOOKUP(B1169,[1]!Tabela1[[Cidades ]],[1]!Tabela1[Gerente],0,0,1)</f>
        <v>Demais coordenadores</v>
      </c>
    </row>
    <row r="1170" spans="1:8" x14ac:dyDescent="0.3">
      <c r="A1170" s="4" t="s">
        <v>1208</v>
      </c>
      <c r="B1170" s="5" t="s">
        <v>31</v>
      </c>
      <c r="C1170" s="6">
        <v>45838</v>
      </c>
      <c r="D1170" s="7">
        <v>647350</v>
      </c>
      <c r="E1170" s="5" t="str">
        <f>_xlfn.XLOOKUP(D1170,[1]!Tabela24[Código consultor],[1]!Tabela24[Consultor Venda],0,0,1)</f>
        <v>COM - CCO - MILENA CAROLINA CARVALHO DE LIMA</v>
      </c>
      <c r="F1170" s="5" t="str">
        <f>_xlfn.XLOOKUP(D1170,[1]!Tabela24[Código consultor],[1]!Tabela24[Canal Consultor],0,0,1)</f>
        <v>INTERNO</v>
      </c>
      <c r="G1170" s="5" t="str">
        <f>_xlfn.XLOOKUP(B1170,[1]!Tabela1[[Cidades ]],[1]!Tabela1[Regional],0,0,1)</f>
        <v>Maycon</v>
      </c>
      <c r="H1170" s="8" t="str">
        <f>_xlfn.XLOOKUP(B1170,[1]!Tabela1[[Cidades ]],[1]!Tabela1[Gerente],0,0,1)</f>
        <v>Demais coordenadores</v>
      </c>
    </row>
    <row r="1171" spans="1:8" x14ac:dyDescent="0.3">
      <c r="A1171" s="9" t="s">
        <v>1209</v>
      </c>
      <c r="B1171" s="10" t="s">
        <v>19</v>
      </c>
      <c r="C1171" s="11">
        <v>45838</v>
      </c>
      <c r="D1171" s="12">
        <v>725067</v>
      </c>
      <c r="E1171" s="5" t="str">
        <f>_xlfn.XLOOKUP(D1171,[1]!Tabela24[Código consultor],[1]!Tabela24[Consultor Venda],0,0,1)</f>
        <v>COM - CHN - MICHELY SANTOS DOS SANTOS</v>
      </c>
      <c r="F1171" s="5" t="str">
        <f>_xlfn.XLOOKUP(D1171,[1]!Tabela24[Código consultor],[1]!Tabela24[Canal Consultor],0,0,1)</f>
        <v>Pap</v>
      </c>
      <c r="G1171" s="10" t="str">
        <f>_xlfn.XLOOKUP(B1171,[1]!Tabela1[[Cidades ]],[1]!Tabela1[Regional],0,0,1)</f>
        <v>Magno</v>
      </c>
      <c r="H1171" s="13" t="str">
        <f>_xlfn.XLOOKUP(B1171,[1]!Tabela1[[Cidades ]],[1]!Tabela1[Gerente],0,0,1)</f>
        <v>Demais coordenadores</v>
      </c>
    </row>
    <row r="1172" spans="1:8" x14ac:dyDescent="0.3">
      <c r="A1172" s="4" t="s">
        <v>1211</v>
      </c>
      <c r="B1172" s="5" t="s">
        <v>34</v>
      </c>
      <c r="C1172" s="6">
        <v>45838</v>
      </c>
      <c r="D1172" s="7">
        <v>680982</v>
      </c>
      <c r="E1172" s="5" t="str">
        <f>_xlfn.XLOOKUP(D1172,[1]!Tabela24[Código consultor],[1]!Tabela24[Consultor Venda],0,0,1)</f>
        <v>COM - ERE - JESSICA LAURA SOUZA</v>
      </c>
      <c r="F1172" s="5" t="str">
        <f>_xlfn.XLOOKUP(D1172,[1]!Tabela24[Código consultor],[1]!Tabela24[Canal Consultor],0,0,1)</f>
        <v>INTERNO</v>
      </c>
      <c r="G1172" s="5" t="str">
        <f>_xlfn.XLOOKUP(B1172,[1]!Tabela1[[Cidades ]],[1]!Tabela1[Regional],0,0,1)</f>
        <v>Alisson</v>
      </c>
      <c r="H1172" s="8" t="str">
        <f>_xlfn.XLOOKUP(B1172,[1]!Tabela1[[Cidades ]],[1]!Tabela1[Gerente],0,0,1)</f>
        <v>Karine</v>
      </c>
    </row>
    <row r="1173" spans="1:8" x14ac:dyDescent="0.3">
      <c r="A1173" s="9" t="s">
        <v>1333</v>
      </c>
      <c r="B1173" s="10" t="s">
        <v>31</v>
      </c>
      <c r="C1173" s="11">
        <v>45838</v>
      </c>
      <c r="D1173" s="12">
        <v>694166</v>
      </c>
      <c r="E1173" s="5" t="str">
        <f>_xlfn.XLOOKUP(D1173,[1]!Tabela24[Código consultor],[1]!Tabela24[Consultor Venda],0,0,1)</f>
        <v>DIG - CCO - CARINE CORREA SOARES</v>
      </c>
      <c r="F1173" s="5" t="str">
        <f>_xlfn.XLOOKUP(D1173,[1]!Tabela24[Código consultor],[1]!Tabela24[Canal Consultor],0,0,1)</f>
        <v>DIGITAL</v>
      </c>
      <c r="G1173" s="10" t="str">
        <f>_xlfn.XLOOKUP(B1173,[1]!Tabela1[[Cidades ]],[1]!Tabela1[Regional],0,0,1)</f>
        <v>Maycon</v>
      </c>
      <c r="H1173" s="13" t="str">
        <f>_xlfn.XLOOKUP(B1173,[1]!Tabela1[[Cidades ]],[1]!Tabela1[Gerente],0,0,1)</f>
        <v>Demais coordenadores</v>
      </c>
    </row>
    <row r="1174" spans="1:8" x14ac:dyDescent="0.3">
      <c r="A1174" s="4" t="s">
        <v>1334</v>
      </c>
      <c r="B1174" s="5" t="s">
        <v>53</v>
      </c>
      <c r="C1174" s="6">
        <v>45838</v>
      </c>
      <c r="D1174" s="7">
        <v>197832</v>
      </c>
      <c r="E1174" s="5" t="str">
        <f>_xlfn.XLOOKUP(D1174,[1]!Tabela24[Código consultor],[1]!Tabela24[Consultor Venda],0,0,1)</f>
        <v>DIG - CCO - RAIANE BERGAMIN</v>
      </c>
      <c r="F1174" s="5" t="str">
        <f>_xlfn.XLOOKUP(D1174,[1]!Tabela24[Código consultor],[1]!Tabela24[Canal Consultor],0,0,1)</f>
        <v>DIGITAL</v>
      </c>
      <c r="G1174" s="5" t="str">
        <f>_xlfn.XLOOKUP(B1174,[1]!Tabela1[[Cidades ]],[1]!Tabela1[Regional],0,0,1)</f>
        <v>Adilson</v>
      </c>
      <c r="H1174" s="8" t="str">
        <f>_xlfn.XLOOKUP(B1174,[1]!Tabela1[[Cidades ]],[1]!Tabela1[Gerente],0,0,1)</f>
        <v>Demais coordenadores</v>
      </c>
    </row>
    <row r="1175" spans="1:8" x14ac:dyDescent="0.3">
      <c r="A1175" s="9" t="s">
        <v>1335</v>
      </c>
      <c r="B1175" s="10" t="s">
        <v>10</v>
      </c>
      <c r="C1175" s="11">
        <v>45838</v>
      </c>
      <c r="D1175" s="12">
        <v>562578</v>
      </c>
      <c r="E1175" s="5" t="str">
        <f>_xlfn.XLOOKUP(D1175,[1]!Tabela24[Código consultor],[1]!Tabela24[Consultor Venda],0,0,1)</f>
        <v>PAR - GRP - COM - MOBILE - JOANA ISABELA DILGER</v>
      </c>
      <c r="F1175" s="5" t="str">
        <f>_xlfn.XLOOKUP(D1175,[1]!Tabela24[Código consultor],[1]!Tabela24[Canal Consultor],0,0,1)</f>
        <v>par</v>
      </c>
      <c r="G1175" s="10" t="str">
        <f>_xlfn.XLOOKUP(B1175,[1]!Tabela1[[Cidades ]],[1]!Tabela1[Regional],0,0,1)</f>
        <v>Jean</v>
      </c>
      <c r="H1175" s="13" t="str">
        <f>_xlfn.XLOOKUP(B1175,[1]!Tabela1[[Cidades ]],[1]!Tabela1[Gerente],0,0,1)</f>
        <v>Demais coordenadores</v>
      </c>
    </row>
    <row r="1176" spans="1:8" x14ac:dyDescent="0.3">
      <c r="A1176" s="4" t="s">
        <v>1336</v>
      </c>
      <c r="B1176" s="5" t="s">
        <v>39</v>
      </c>
      <c r="C1176" s="6">
        <v>45838</v>
      </c>
      <c r="D1176" s="7">
        <v>36923</v>
      </c>
      <c r="E1176" s="5" t="str">
        <f>_xlfn.XLOOKUP(D1176,[1]!Tabela24[Código consultor],[1]!Tabela24[Consultor Venda],0,0,1)</f>
        <v>COM - LGS - NATASHA VAIOLES MENDONCA</v>
      </c>
      <c r="F1176" s="5" t="str">
        <f>_xlfn.XLOOKUP(D1176,[1]!Tabela24[Código consultor],[1]!Tabela24[Canal Consultor],0,0,1)</f>
        <v>Pap</v>
      </c>
      <c r="G1176" s="5" t="str">
        <f>_xlfn.XLOOKUP(B1176,[1]!Tabela1[[Cidades ]],[1]!Tabela1[Regional],0,0,1)</f>
        <v>Marcio</v>
      </c>
      <c r="H1176" s="8" t="str">
        <f>_xlfn.XLOOKUP(B1176,[1]!Tabela1[[Cidades ]],[1]!Tabela1[Gerente],0,0,1)</f>
        <v>Demais coordenadores</v>
      </c>
    </row>
    <row r="1177" spans="1:8" x14ac:dyDescent="0.3">
      <c r="A1177" s="9" t="s">
        <v>1214</v>
      </c>
      <c r="B1177" s="10" t="s">
        <v>53</v>
      </c>
      <c r="C1177" s="11">
        <v>45838</v>
      </c>
      <c r="D1177" s="12">
        <v>844068</v>
      </c>
      <c r="E1177" s="5" t="str">
        <f>_xlfn.XLOOKUP(D1177,[1]!Tabela24[Código consultor],[1]!Tabela24[Consultor Venda],0,0,1)</f>
        <v>COM - DOS - GABRIEL SPINDOLA RAMOS CORREA</v>
      </c>
      <c r="F1177" s="5" t="str">
        <f>_xlfn.XLOOKUP(D1177,[1]!Tabela24[Código consultor],[1]!Tabela24[Canal Consultor],0,0,1)</f>
        <v>Pap</v>
      </c>
      <c r="G1177" s="10" t="str">
        <f>_xlfn.XLOOKUP(B1177,[1]!Tabela1[[Cidades ]],[1]!Tabela1[Regional],0,0,1)</f>
        <v>Adilson</v>
      </c>
      <c r="H1177" s="13" t="str">
        <f>_xlfn.XLOOKUP(B1177,[1]!Tabela1[[Cidades ]],[1]!Tabela1[Gerente],0,0,1)</f>
        <v>Demais coordenadores</v>
      </c>
    </row>
    <row r="1178" spans="1:8" x14ac:dyDescent="0.3">
      <c r="A1178" s="4" t="s">
        <v>1337</v>
      </c>
      <c r="B1178" s="5" t="s">
        <v>39</v>
      </c>
      <c r="C1178" s="6">
        <v>45838</v>
      </c>
      <c r="D1178" s="7">
        <v>547570</v>
      </c>
      <c r="E1178" s="5" t="str">
        <f>_xlfn.XLOOKUP(D1178,[1]!Tabela24[Código consultor],[1]!Tabela24[Consultor Venda],0,0,1)</f>
        <v>COM - LGS - ISABEL CRISTINA RODRIGUES DE JESUS</v>
      </c>
      <c r="F1178" s="5" t="str">
        <f>_xlfn.XLOOKUP(D1178,[1]!Tabela24[Código consultor],[1]!Tabela24[Canal Consultor],0,0,1)</f>
        <v>INTERNO</v>
      </c>
      <c r="G1178" s="5" t="str">
        <f>_xlfn.XLOOKUP(B1178,[1]!Tabela1[[Cidades ]],[1]!Tabela1[Regional],0,0,1)</f>
        <v>Marcio</v>
      </c>
      <c r="H1178" s="8" t="str">
        <f>_xlfn.XLOOKUP(B1178,[1]!Tabela1[[Cidades ]],[1]!Tabela1[Gerente],0,0,1)</f>
        <v>Demais coordenadores</v>
      </c>
    </row>
    <row r="1179" spans="1:8" x14ac:dyDescent="0.3">
      <c r="A1179" s="9" t="s">
        <v>1215</v>
      </c>
      <c r="B1179" s="10" t="s">
        <v>42</v>
      </c>
      <c r="C1179" s="11">
        <v>45838</v>
      </c>
      <c r="D1179" s="12">
        <v>694166</v>
      </c>
      <c r="E1179" s="5" t="str">
        <f>_xlfn.XLOOKUP(D1179,[1]!Tabela24[Código consultor],[1]!Tabela24[Consultor Venda],0,0,1)</f>
        <v>DIG - CCO - CARINE CORREA SOARES</v>
      </c>
      <c r="F1179" s="5" t="str">
        <f>_xlfn.XLOOKUP(D1179,[1]!Tabela24[Código consultor],[1]!Tabela24[Canal Consultor],0,0,1)</f>
        <v>DIGITAL</v>
      </c>
      <c r="G1179" s="10" t="str">
        <f>_xlfn.XLOOKUP(B1179,[1]!Tabela1[[Cidades ]],[1]!Tabela1[Regional],0,0,1)</f>
        <v>Maycon</v>
      </c>
      <c r="H1179" s="13" t="str">
        <f>_xlfn.XLOOKUP(B1179,[1]!Tabela1[[Cidades ]],[1]!Tabela1[Gerente],0,0,1)</f>
        <v>Demais coordenadores</v>
      </c>
    </row>
    <row r="1180" spans="1:8" x14ac:dyDescent="0.3">
      <c r="A1180" s="4" t="s">
        <v>1338</v>
      </c>
      <c r="B1180" s="5" t="s">
        <v>32</v>
      </c>
      <c r="C1180" s="6">
        <v>45838</v>
      </c>
      <c r="D1180" s="7">
        <v>885453</v>
      </c>
      <c r="E1180" s="5" t="str">
        <f>_xlfn.XLOOKUP(D1180,[1]!Tabela24[Código consultor],[1]!Tabela24[Consultor Venda],0,0,1)</f>
        <v>COM - IGA - EMILY PRISCILA BRAZ VIANA</v>
      </c>
      <c r="F1180" s="5" t="str">
        <f>_xlfn.XLOOKUP(D1180,[1]!Tabela24[Código consultor],[1]!Tabela24[Canal Consultor],0,0,1)</f>
        <v>Pap</v>
      </c>
      <c r="G1180" s="5" t="str">
        <f>_xlfn.XLOOKUP(B1180,[1]!Tabela1[[Cidades ]],[1]!Tabela1[Regional],0,0,1)</f>
        <v>Jean</v>
      </c>
      <c r="H1180" s="8" t="str">
        <f>_xlfn.XLOOKUP(B1180,[1]!Tabela1[[Cidades ]],[1]!Tabela1[Gerente],0,0,1)</f>
        <v>Demais coordenadores</v>
      </c>
    </row>
    <row r="1181" spans="1:8" x14ac:dyDescent="0.3">
      <c r="A1181" s="9" t="s">
        <v>1339</v>
      </c>
      <c r="B1181" s="10" t="s">
        <v>34</v>
      </c>
      <c r="C1181" s="11">
        <v>45838</v>
      </c>
      <c r="D1181" s="12">
        <v>683349</v>
      </c>
      <c r="E1181" s="5" t="str">
        <f>_xlfn.XLOOKUP(D1181,[1]!Tabela24[Código consultor],[1]!Tabela24[Consultor Venda],0,0,1)</f>
        <v>DIG - CCO - EVELLIN SALOA MAIA DA CONCEICAO</v>
      </c>
      <c r="F1181" s="5" t="str">
        <f>_xlfn.XLOOKUP(D1181,[1]!Tabela24[Código consultor],[1]!Tabela24[Canal Consultor],0,0,1)</f>
        <v>DIGITAL</v>
      </c>
      <c r="G1181" s="10" t="str">
        <f>_xlfn.XLOOKUP(B1181,[1]!Tabela1[[Cidades ]],[1]!Tabela1[Regional],0,0,1)</f>
        <v>Alisson</v>
      </c>
      <c r="H1181" s="13" t="str">
        <f>_xlfn.XLOOKUP(B1181,[1]!Tabela1[[Cidades ]],[1]!Tabela1[Gerente],0,0,1)</f>
        <v>Karine</v>
      </c>
    </row>
    <row r="1182" spans="1:8" x14ac:dyDescent="0.3">
      <c r="A1182" s="4" t="s">
        <v>1340</v>
      </c>
      <c r="B1182" s="5" t="s">
        <v>24</v>
      </c>
      <c r="C1182" s="6">
        <v>45838</v>
      </c>
      <c r="D1182" s="7">
        <v>235841</v>
      </c>
      <c r="E1182" s="5" t="str">
        <f>_xlfn.XLOOKUP(D1182,[1]!Tabela24[Código consultor],[1]!Tabela24[Consultor Venda],0,0,1)</f>
        <v>DIG - CCO - KAUANA BONI</v>
      </c>
      <c r="F1182" s="5" t="str">
        <f>_xlfn.XLOOKUP(D1182,[1]!Tabela24[Código consultor],[1]!Tabela24[Canal Consultor],0,0,1)</f>
        <v>DIGITAL</v>
      </c>
      <c r="G1182" s="5" t="str">
        <f>_xlfn.XLOOKUP(B1182,[1]!Tabela1[[Cidades ]],[1]!Tabela1[Regional],0,0,1)</f>
        <v>Magno</v>
      </c>
      <c r="H1182" s="8" t="str">
        <f>_xlfn.XLOOKUP(B1182,[1]!Tabela1[[Cidades ]],[1]!Tabela1[Gerente],0,0,1)</f>
        <v>Demais coordenadores</v>
      </c>
    </row>
    <row r="1183" spans="1:8" x14ac:dyDescent="0.3">
      <c r="A1183" s="9" t="s">
        <v>1341</v>
      </c>
      <c r="B1183" s="10" t="s">
        <v>65</v>
      </c>
      <c r="C1183" s="11">
        <v>45838</v>
      </c>
      <c r="D1183" s="12">
        <v>197832</v>
      </c>
      <c r="E1183" s="5" t="str">
        <f>_xlfn.XLOOKUP(D1183,[1]!Tabela24[Código consultor],[1]!Tabela24[Consultor Venda],0,0,1)</f>
        <v>DIG - CCO - RAIANE BERGAMIN</v>
      </c>
      <c r="F1183" s="5" t="str">
        <f>_xlfn.XLOOKUP(D1183,[1]!Tabela24[Código consultor],[1]!Tabela24[Canal Consultor],0,0,1)</f>
        <v>DIGITAL</v>
      </c>
      <c r="G1183" s="10" t="str">
        <f>_xlfn.XLOOKUP(B1183,[1]!Tabela1[[Cidades ]],[1]!Tabela1[Regional],0,0,1)</f>
        <v>Marcio</v>
      </c>
      <c r="H1183" s="13" t="str">
        <f>_xlfn.XLOOKUP(B1183,[1]!Tabela1[[Cidades ]],[1]!Tabela1[Gerente],0,0,1)</f>
        <v>Demais coordenadores</v>
      </c>
    </row>
    <row r="1184" spans="1:8" x14ac:dyDescent="0.3">
      <c r="A1184" s="4" t="s">
        <v>1342</v>
      </c>
      <c r="B1184" s="5" t="s">
        <v>27</v>
      </c>
      <c r="C1184" s="6">
        <v>45838</v>
      </c>
      <c r="D1184" s="7">
        <v>172141</v>
      </c>
      <c r="E1184" s="5" t="str">
        <f>_xlfn.XLOOKUP(D1184,[1]!Tabela24[Código consultor],[1]!Tabela24[Consultor Venda],0,0,1)</f>
        <v>COM - VAA - KETELLE PEDROSO DA CONCEICAO</v>
      </c>
      <c r="F1184" s="5" t="str">
        <f>_xlfn.XLOOKUP(D1184,[1]!Tabela24[Código consultor],[1]!Tabela24[Canal Consultor],0,0,1)</f>
        <v>INTERNO</v>
      </c>
      <c r="G1184" s="5" t="str">
        <f>_xlfn.XLOOKUP(B1184,[1]!Tabela1[[Cidades ]],[1]!Tabela1[Regional],0,0,1)</f>
        <v>Alisson</v>
      </c>
      <c r="H1184" s="8" t="str">
        <f>_xlfn.XLOOKUP(B1184,[1]!Tabela1[[Cidades ]],[1]!Tabela1[Gerente],0,0,1)</f>
        <v>Tatiane</v>
      </c>
    </row>
    <row r="1185" spans="1:8" x14ac:dyDescent="0.3">
      <c r="A1185" s="9" t="s">
        <v>1343</v>
      </c>
      <c r="B1185" s="10" t="s">
        <v>31</v>
      </c>
      <c r="C1185" s="11">
        <v>45838</v>
      </c>
      <c r="D1185" s="12">
        <v>666428</v>
      </c>
      <c r="E1185" s="5" t="str">
        <f>_xlfn.XLOOKUP(D1185,[1]!Tabela24[Código consultor],[1]!Tabela24[Consultor Venda],0,0,1)</f>
        <v>COM - CCO - ALESANDRA FRANCA CAMINERO</v>
      </c>
      <c r="F1185" s="5" t="str">
        <f>_xlfn.XLOOKUP(D1185,[1]!Tabela24[Código consultor],[1]!Tabela24[Canal Consultor],0,0,1)</f>
        <v>INTERNO</v>
      </c>
      <c r="G1185" s="10" t="str">
        <f>_xlfn.XLOOKUP(B1185,[1]!Tabela1[[Cidades ]],[1]!Tabela1[Regional],0,0,1)</f>
        <v>Maycon</v>
      </c>
      <c r="H1185" s="13" t="str">
        <f>_xlfn.XLOOKUP(B1185,[1]!Tabela1[[Cidades ]],[1]!Tabela1[Gerente],0,0,1)</f>
        <v>Demais coordenadores</v>
      </c>
    </row>
    <row r="1186" spans="1:8" x14ac:dyDescent="0.3">
      <c r="A1186" s="4" t="s">
        <v>1344</v>
      </c>
      <c r="B1186" s="5" t="s">
        <v>66</v>
      </c>
      <c r="C1186" s="6">
        <v>45838</v>
      </c>
      <c r="D1186" s="7">
        <v>694166</v>
      </c>
      <c r="E1186" s="5" t="str">
        <f>_xlfn.XLOOKUP(D1186,[1]!Tabela24[Código consultor],[1]!Tabela24[Consultor Venda],0,0,1)</f>
        <v>DIG - CCO - CARINE CORREA SOARES</v>
      </c>
      <c r="F1186" s="5" t="str">
        <f>_xlfn.XLOOKUP(D1186,[1]!Tabela24[Código consultor],[1]!Tabela24[Canal Consultor],0,0,1)</f>
        <v>DIGITAL</v>
      </c>
      <c r="G1186" s="5" t="str">
        <f>_xlfn.XLOOKUP(B1186,[1]!Tabela1[[Cidades ]],[1]!Tabela1[Regional],0,0,1)</f>
        <v>Marcio</v>
      </c>
      <c r="H1186" s="8" t="str">
        <f>_xlfn.XLOOKUP(B1186,[1]!Tabela1[[Cidades ]],[1]!Tabela1[Gerente],0,0,1)</f>
        <v>Demais coordenadores</v>
      </c>
    </row>
    <row r="1187" spans="1:8" x14ac:dyDescent="0.3">
      <c r="A1187" s="9" t="s">
        <v>1345</v>
      </c>
      <c r="B1187" s="10" t="s">
        <v>13</v>
      </c>
      <c r="C1187" s="11">
        <v>45838</v>
      </c>
      <c r="D1187" s="12">
        <v>835429</v>
      </c>
      <c r="E1187" s="5" t="str">
        <f>_xlfn.XLOOKUP(D1187,[1]!Tabela24[Código consultor],[1]!Tabela24[Consultor Venda],0,0,1)</f>
        <v>COM - PAS - BRENDA MARIZA BUENO FERRANDIN</v>
      </c>
      <c r="F1187" s="5" t="str">
        <f>_xlfn.XLOOKUP(D1187,[1]!Tabela24[Código consultor],[1]!Tabela24[Canal Consultor],0,0,1)</f>
        <v>INTERNO</v>
      </c>
      <c r="G1187" s="10" t="str">
        <f>_xlfn.XLOOKUP(B1187,[1]!Tabela1[[Cidades ]],[1]!Tabela1[Regional],0,0,1)</f>
        <v>Alisson</v>
      </c>
      <c r="H1187" s="13" t="str">
        <f>_xlfn.XLOOKUP(B1187,[1]!Tabela1[[Cidades ]],[1]!Tabela1[Gerente],0,0,1)</f>
        <v>Ariana</v>
      </c>
    </row>
    <row r="1188" spans="1:8" x14ac:dyDescent="0.3">
      <c r="A1188" s="4" t="s">
        <v>1346</v>
      </c>
      <c r="B1188" s="5" t="s">
        <v>32</v>
      </c>
      <c r="C1188" s="6">
        <v>45838</v>
      </c>
      <c r="D1188" s="7">
        <v>867522</v>
      </c>
      <c r="E1188" s="5" t="str">
        <f>_xlfn.XLOOKUP(D1188,[1]!Tabela24[Código consultor],[1]!Tabela24[Consultor Venda],0,0,1)</f>
        <v>COM - IGA - SANDRO CESAR MARTINS</v>
      </c>
      <c r="F1188" s="5" t="str">
        <f>_xlfn.XLOOKUP(D1188,[1]!Tabela24[Código consultor],[1]!Tabela24[Canal Consultor],0,0,1)</f>
        <v>Pap</v>
      </c>
      <c r="G1188" s="5" t="str">
        <f>_xlfn.XLOOKUP(B1188,[1]!Tabela1[[Cidades ]],[1]!Tabela1[Regional],0,0,1)</f>
        <v>Jean</v>
      </c>
      <c r="H1188" s="8" t="str">
        <f>_xlfn.XLOOKUP(B1188,[1]!Tabela1[[Cidades ]],[1]!Tabela1[Gerente],0,0,1)</f>
        <v>Demais coordenadores</v>
      </c>
    </row>
    <row r="1189" spans="1:8" x14ac:dyDescent="0.3">
      <c r="A1189" s="9" t="s">
        <v>1347</v>
      </c>
      <c r="B1189" s="10" t="s">
        <v>72</v>
      </c>
      <c r="C1189" s="11">
        <v>45838</v>
      </c>
      <c r="D1189" s="12">
        <v>873823</v>
      </c>
      <c r="E1189" s="5" t="str">
        <f>_xlfn.XLOOKUP(D1189,[1]!Tabela24[Código consultor],[1]!Tabela24[Consultor Venda],0,0,1)</f>
        <v>PAR - COM - JCA - TECNOSERVI - ANA BEATRIZ DE JESUS SANTANA</v>
      </c>
      <c r="F1189" s="5" t="str">
        <f>_xlfn.XLOOKUP(D1189,[1]!Tabela24[Código consultor],[1]!Tabela24[Canal Consultor],0,0,1)</f>
        <v>PAR</v>
      </c>
      <c r="G1189" s="10" t="str">
        <f>_xlfn.XLOOKUP(B1189,[1]!Tabela1[[Cidades ]],[1]!Tabela1[Regional],0,0,1)</f>
        <v>Maycon</v>
      </c>
      <c r="H1189" s="13" t="str">
        <f>_xlfn.XLOOKUP(B1189,[1]!Tabela1[[Cidades ]],[1]!Tabela1[Gerente],0,0,1)</f>
        <v>Demais coordenadores</v>
      </c>
    </row>
    <row r="1190" spans="1:8" x14ac:dyDescent="0.3">
      <c r="A1190" s="4" t="s">
        <v>1224</v>
      </c>
      <c r="B1190" s="5" t="s">
        <v>11</v>
      </c>
      <c r="C1190" s="6">
        <v>45838</v>
      </c>
      <c r="D1190" s="7">
        <v>788656</v>
      </c>
      <c r="E1190" s="5" t="str">
        <f>_xlfn.XLOOKUP(D1190,[1]!Tabela24[Código consultor],[1]!Tabela24[Consultor Venda],0,0,1)</f>
        <v>PAR - STB - PAP - JOY TELECOM - GABRIELA ALVES DE GODOY</v>
      </c>
      <c r="F1190" s="5" t="str">
        <f>_xlfn.XLOOKUP(D1190,[1]!Tabela24[Código consultor],[1]!Tabela24[Canal Consultor],0,0,1)</f>
        <v>PAR_DIG</v>
      </c>
      <c r="G1190" s="5" t="str">
        <f>_xlfn.XLOOKUP(B1190,[1]!Tabela1[[Cidades ]],[1]!Tabela1[Regional],0,0,1)</f>
        <v>Magno</v>
      </c>
      <c r="H1190" s="8" t="str">
        <f>_xlfn.XLOOKUP(B1190,[1]!Tabela1[[Cidades ]],[1]!Tabela1[Gerente],0,0,1)</f>
        <v>Demais coordenadores</v>
      </c>
    </row>
    <row r="1191" spans="1:8" x14ac:dyDescent="0.3">
      <c r="A1191" s="9" t="s">
        <v>1348</v>
      </c>
      <c r="B1191" s="10" t="s">
        <v>39</v>
      </c>
      <c r="C1191" s="11">
        <v>45838</v>
      </c>
      <c r="D1191" s="12">
        <v>882331</v>
      </c>
      <c r="E1191" s="5" t="str">
        <f>_xlfn.XLOOKUP(D1191,[1]!Tabela24[Código consultor],[1]!Tabela24[Consultor Venda],0,0,1)</f>
        <v>DIG - CCO - SABRINA LUIZA BANDEIRA</v>
      </c>
      <c r="F1191" s="5" t="str">
        <f>_xlfn.XLOOKUP(D1191,[1]!Tabela24[Código consultor],[1]!Tabela24[Canal Consultor],0,0,1)</f>
        <v>DIGITAL</v>
      </c>
      <c r="G1191" s="10" t="str">
        <f>_xlfn.XLOOKUP(B1191,[1]!Tabela1[[Cidades ]],[1]!Tabela1[Regional],0,0,1)</f>
        <v>Marcio</v>
      </c>
      <c r="H1191" s="13" t="str">
        <f>_xlfn.XLOOKUP(B1191,[1]!Tabela1[[Cidades ]],[1]!Tabela1[Gerente],0,0,1)</f>
        <v>Demais coordenadores</v>
      </c>
    </row>
    <row r="1192" spans="1:8" x14ac:dyDescent="0.3">
      <c r="A1192" s="4" t="s">
        <v>1349</v>
      </c>
      <c r="B1192" s="5" t="s">
        <v>39</v>
      </c>
      <c r="C1192" s="6">
        <v>45838</v>
      </c>
      <c r="D1192" s="7">
        <v>600710</v>
      </c>
      <c r="E1192" s="5" t="str">
        <f>_xlfn.XLOOKUP(D1192,[1]!Tabela24[Código consultor],[1]!Tabela24[Consultor Venda],0,0,1)</f>
        <v>DIG - CCO - BRUNA BALBINOTTI</v>
      </c>
      <c r="F1192" s="5" t="str">
        <f>_xlfn.XLOOKUP(D1192,[1]!Tabela24[Código consultor],[1]!Tabela24[Canal Consultor],0,0,1)</f>
        <v>DIGITAL</v>
      </c>
      <c r="G1192" s="5" t="str">
        <f>_xlfn.XLOOKUP(B1192,[1]!Tabela1[[Cidades ]],[1]!Tabela1[Regional],0,0,1)</f>
        <v>Marcio</v>
      </c>
      <c r="H1192" s="8" t="str">
        <f>_xlfn.XLOOKUP(B1192,[1]!Tabela1[[Cidades ]],[1]!Tabela1[Gerente],0,0,1)</f>
        <v>Demais coordenadores</v>
      </c>
    </row>
    <row r="1193" spans="1:8" x14ac:dyDescent="0.3">
      <c r="A1193" s="9" t="s">
        <v>1226</v>
      </c>
      <c r="B1193" s="10" t="s">
        <v>23</v>
      </c>
      <c r="C1193" s="11">
        <v>45838</v>
      </c>
      <c r="D1193" s="12">
        <v>767508</v>
      </c>
      <c r="E1193" s="5" t="str">
        <f>_xlfn.XLOOKUP(D1193,[1]!Tabela24[Código consultor],[1]!Tabela24[Consultor Venda],0,0,1)</f>
        <v>COM - CAN - JULIANA DA SILVA ASSUNCAO</v>
      </c>
      <c r="F1193" s="5" t="str">
        <f>_xlfn.XLOOKUP(D1193,[1]!Tabela24[Código consultor],[1]!Tabela24[Canal Consultor],0,0,1)</f>
        <v>Pap</v>
      </c>
      <c r="G1193" s="10" t="str">
        <f>_xlfn.XLOOKUP(B1193,[1]!Tabela1[[Cidades ]],[1]!Tabela1[Regional],0,0,1)</f>
        <v>Magno</v>
      </c>
      <c r="H1193" s="13" t="str">
        <f>_xlfn.XLOOKUP(B1193,[1]!Tabela1[[Cidades ]],[1]!Tabela1[Gerente],0,0,1)</f>
        <v>Demais coordenadores</v>
      </c>
    </row>
    <row r="1194" spans="1:8" x14ac:dyDescent="0.3">
      <c r="A1194" s="4" t="s">
        <v>1228</v>
      </c>
      <c r="B1194" s="5" t="s">
        <v>37</v>
      </c>
      <c r="C1194" s="6">
        <v>45838</v>
      </c>
      <c r="D1194" s="7">
        <v>873649</v>
      </c>
      <c r="E1194" s="5" t="str">
        <f>_xlfn.XLOOKUP(D1194,[1]!Tabela24[Código consultor],[1]!Tabela24[Consultor Venda],0,0,1)</f>
        <v>COM - SOC - LEONARDO GUSTAVO TEIXEIRA DOS SANTOS</v>
      </c>
      <c r="F1194" s="5" t="str">
        <f>_xlfn.XLOOKUP(D1194,[1]!Tabela24[Código consultor],[1]!Tabela24[Canal Consultor],0,0,1)</f>
        <v>Pap</v>
      </c>
      <c r="G1194" s="5" t="str">
        <f>_xlfn.XLOOKUP(B1194,[1]!Tabela1[[Cidades ]],[1]!Tabela1[Regional],0,0,1)</f>
        <v>Jean</v>
      </c>
      <c r="H1194" s="8" t="str">
        <f>_xlfn.XLOOKUP(B1194,[1]!Tabela1[[Cidades ]],[1]!Tabela1[Gerente],0,0,1)</f>
        <v>Demais coordenadores</v>
      </c>
    </row>
    <row r="1195" spans="1:8" x14ac:dyDescent="0.3">
      <c r="A1195" s="9" t="s">
        <v>1350</v>
      </c>
      <c r="B1195" s="10" t="s">
        <v>14</v>
      </c>
      <c r="C1195" s="11">
        <v>45838</v>
      </c>
      <c r="D1195" s="12">
        <v>685657</v>
      </c>
      <c r="E1195" s="5" t="str">
        <f>_xlfn.XLOOKUP(D1195,[1]!Tabela24[Código consultor],[1]!Tabela24[Consultor Venda],0,0,1)</f>
        <v>COM - PLI - EDISON RICARDO MARTINS</v>
      </c>
      <c r="F1195" s="5" t="str">
        <f>_xlfn.XLOOKUP(D1195,[1]!Tabela24[Código consultor],[1]!Tabela24[Canal Consultor],0,0,1)</f>
        <v>INTERNO</v>
      </c>
      <c r="G1195" s="10" t="str">
        <f>_xlfn.XLOOKUP(B1195,[1]!Tabela1[[Cidades ]],[1]!Tabela1[Regional],0,0,1)</f>
        <v>Maycon</v>
      </c>
      <c r="H1195" s="13" t="str">
        <f>_xlfn.XLOOKUP(B1195,[1]!Tabela1[[Cidades ]],[1]!Tabela1[Gerente],0,0,1)</f>
        <v>Demais coordenadores</v>
      </c>
    </row>
    <row r="1196" spans="1:8" x14ac:dyDescent="0.3">
      <c r="A1196" s="4" t="s">
        <v>1229</v>
      </c>
      <c r="B1196" s="5" t="s">
        <v>106</v>
      </c>
      <c r="C1196" s="6">
        <v>45838</v>
      </c>
      <c r="D1196" s="7">
        <v>683349</v>
      </c>
      <c r="E1196" s="5" t="str">
        <f>_xlfn.XLOOKUP(D1196,[1]!Tabela24[Código consultor],[1]!Tabela24[Consultor Venda],0,0,1)</f>
        <v>DIG - CCO - EVELLIN SALOA MAIA DA CONCEICAO</v>
      </c>
      <c r="F1196" s="5" t="str">
        <f>_xlfn.XLOOKUP(D1196,[1]!Tabela24[Código consultor],[1]!Tabela24[Canal Consultor],0,0,1)</f>
        <v>DIGITAL</v>
      </c>
      <c r="G1196" s="5" t="str">
        <f>_xlfn.XLOOKUP(B1196,[1]!Tabela1[[Cidades ]],[1]!Tabela1[Regional],0,0,1)</f>
        <v>Alisson</v>
      </c>
      <c r="H1196" s="8" t="str">
        <f>_xlfn.XLOOKUP(B1196,[1]!Tabela1[[Cidades ]],[1]!Tabela1[Gerente],0,0,1)</f>
        <v>Ariana</v>
      </c>
    </row>
    <row r="1197" spans="1:8" x14ac:dyDescent="0.3">
      <c r="A1197" s="9" t="s">
        <v>1230</v>
      </c>
      <c r="B1197" s="10" t="s">
        <v>30</v>
      </c>
      <c r="C1197" s="11">
        <v>45838</v>
      </c>
      <c r="D1197" s="12">
        <v>883823</v>
      </c>
      <c r="E1197" s="5" t="str">
        <f>_xlfn.XLOOKUP(D1197,[1]!Tabela24[Código consultor],[1]!Tabela24[Consultor Venda],0,0,1)</f>
        <v>COM - IGA - KARINA CRISTINA SOARES CARDOSO</v>
      </c>
      <c r="F1197" s="5" t="str">
        <f>_xlfn.XLOOKUP(D1197,[1]!Tabela24[Código consultor],[1]!Tabela24[Canal Consultor],0,0,1)</f>
        <v>INTERNO</v>
      </c>
      <c r="G1197" s="10" t="str">
        <f>_xlfn.XLOOKUP(B1197,[1]!Tabela1[[Cidades ]],[1]!Tabela1[Regional],0,0,1)</f>
        <v>Jean</v>
      </c>
      <c r="H1197" s="13" t="str">
        <f>_xlfn.XLOOKUP(B1197,[1]!Tabela1[[Cidades ]],[1]!Tabela1[Gerente],0,0,1)</f>
        <v>Demais coordenadores</v>
      </c>
    </row>
    <row r="1198" spans="1:8" x14ac:dyDescent="0.3">
      <c r="A1198" s="4" t="s">
        <v>1231</v>
      </c>
      <c r="B1198" s="5" t="s">
        <v>53</v>
      </c>
      <c r="C1198" s="6">
        <v>45838</v>
      </c>
      <c r="D1198" s="7">
        <v>788656</v>
      </c>
      <c r="E1198" s="5" t="str">
        <f>_xlfn.XLOOKUP(D1198,[1]!Tabela24[Código consultor],[1]!Tabela24[Consultor Venda],0,0,1)</f>
        <v>PAR - STB - PAP - JOY TELECOM - GABRIELA ALVES DE GODOY</v>
      </c>
      <c r="F1198" s="5" t="str">
        <f>_xlfn.XLOOKUP(D1198,[1]!Tabela24[Código consultor],[1]!Tabela24[Canal Consultor],0,0,1)</f>
        <v>PAR_DIG</v>
      </c>
      <c r="G1198" s="5" t="str">
        <f>_xlfn.XLOOKUP(B1198,[1]!Tabela1[[Cidades ]],[1]!Tabela1[Regional],0,0,1)</f>
        <v>Adilson</v>
      </c>
      <c r="H1198" s="8" t="str">
        <f>_xlfn.XLOOKUP(B1198,[1]!Tabela1[[Cidades ]],[1]!Tabela1[Gerente],0,0,1)</f>
        <v>Demais coordenadores</v>
      </c>
    </row>
    <row r="1199" spans="1:8" x14ac:dyDescent="0.3">
      <c r="A1199" s="9" t="s">
        <v>1351</v>
      </c>
      <c r="B1199" s="10" t="s">
        <v>41</v>
      </c>
      <c r="C1199" s="11">
        <v>45838</v>
      </c>
      <c r="D1199" s="12">
        <v>770958</v>
      </c>
      <c r="E1199" s="5" t="str">
        <f>_xlfn.XLOOKUP(D1199,[1]!Tabela24[Código consultor],[1]!Tabela24[Consultor Venda],0,0,1)</f>
        <v>COM - CLD - JOANNA LEDUR</v>
      </c>
      <c r="F1199" s="5" t="str">
        <f>_xlfn.XLOOKUP(D1199,[1]!Tabela24[Código consultor],[1]!Tabela24[Canal Consultor],0,0,1)</f>
        <v>INTERNO</v>
      </c>
      <c r="G1199" s="10" t="str">
        <f>_xlfn.XLOOKUP(B1199,[1]!Tabela1[[Cidades ]],[1]!Tabela1[Regional],0,0,1)</f>
        <v>Maycon</v>
      </c>
      <c r="H1199" s="13" t="str">
        <f>_xlfn.XLOOKUP(B1199,[1]!Tabela1[[Cidades ]],[1]!Tabela1[Gerente],0,0,1)</f>
        <v>Demais coordenadores</v>
      </c>
    </row>
    <row r="1200" spans="1:8" x14ac:dyDescent="0.3">
      <c r="A1200" s="4" t="s">
        <v>1352</v>
      </c>
      <c r="B1200" s="5" t="s">
        <v>60</v>
      </c>
      <c r="C1200" s="6">
        <v>45838</v>
      </c>
      <c r="D1200" s="7">
        <v>861705</v>
      </c>
      <c r="E1200" s="5" t="str">
        <f>_xlfn.XLOOKUP(D1200,[1]!Tabela24[Código consultor],[1]!Tabela24[Consultor Venda],0,0,1)</f>
        <v>PAR - COM - PAP - TQR - ERIKA DE OLIVEIRA GALLE</v>
      </c>
      <c r="F1200" s="5" t="str">
        <f>_xlfn.XLOOKUP(D1200,[1]!Tabela24[Código consultor],[1]!Tabela24[Canal Consultor],0,0,1)</f>
        <v>PAR</v>
      </c>
      <c r="G1200" s="5" t="str">
        <f>_xlfn.XLOOKUP(B1200,[1]!Tabela1[[Cidades ]],[1]!Tabela1[Regional],0,0,1)</f>
        <v>Magno</v>
      </c>
      <c r="H1200" s="8" t="str">
        <f>_xlfn.XLOOKUP(B1200,[1]!Tabela1[[Cidades ]],[1]!Tabela1[Gerente],0,0,1)</f>
        <v>Demais coordenadores</v>
      </c>
    </row>
    <row r="1201" spans="1:8" x14ac:dyDescent="0.3">
      <c r="A1201" s="9" t="s">
        <v>1353</v>
      </c>
      <c r="B1201" s="10" t="s">
        <v>44</v>
      </c>
      <c r="C1201" s="11">
        <v>45838</v>
      </c>
      <c r="D1201" s="12">
        <v>873688</v>
      </c>
      <c r="E1201" s="5" t="str">
        <f>_xlfn.XLOOKUP(D1201,[1]!Tabela24[Código consultor],[1]!Tabela24[Consultor Venda],0,0,1)</f>
        <v>COM - SSL - WESLEY MATHEUS GORDYA PILLAR</v>
      </c>
      <c r="F1201" s="5" t="str">
        <f>_xlfn.XLOOKUP(D1201,[1]!Tabela24[Código consultor],[1]!Tabela24[Canal Consultor],0,0,1)</f>
        <v>Pap</v>
      </c>
      <c r="G1201" s="10" t="str">
        <f>_xlfn.XLOOKUP(B1201,[1]!Tabela1[[Cidades ]],[1]!Tabela1[Regional],0,0,1)</f>
        <v>Jean</v>
      </c>
      <c r="H1201" s="13" t="str">
        <f>_xlfn.XLOOKUP(B1201,[1]!Tabela1[[Cidades ]],[1]!Tabela1[Gerente],0,0,1)</f>
        <v>Demais coordenadores</v>
      </c>
    </row>
    <row r="1202" spans="1:8" x14ac:dyDescent="0.3">
      <c r="A1202" s="4" t="s">
        <v>1233</v>
      </c>
      <c r="B1202" s="5" t="s">
        <v>107</v>
      </c>
      <c r="C1202" s="6">
        <v>45838</v>
      </c>
      <c r="D1202" s="7">
        <v>197832</v>
      </c>
      <c r="E1202" s="5" t="str">
        <f>_xlfn.XLOOKUP(D1202,[1]!Tabela24[Código consultor],[1]!Tabela24[Consultor Venda],0,0,1)</f>
        <v>DIG - CCO - RAIANE BERGAMIN</v>
      </c>
      <c r="F1202" s="5" t="str">
        <f>_xlfn.XLOOKUP(D1202,[1]!Tabela24[Código consultor],[1]!Tabela24[Canal Consultor],0,0,1)</f>
        <v>DIGITAL</v>
      </c>
      <c r="G1202" s="5" t="str">
        <f>_xlfn.XLOOKUP(B1202,[1]!Tabela1[[Cidades ]],[1]!Tabela1[Regional],0,0,1)</f>
        <v>Marcio</v>
      </c>
      <c r="H1202" s="8" t="str">
        <f>_xlfn.XLOOKUP(B1202,[1]!Tabela1[[Cidades ]],[1]!Tabela1[Gerente],0,0,1)</f>
        <v>Demais coordenadores</v>
      </c>
    </row>
    <row r="1203" spans="1:8" x14ac:dyDescent="0.3">
      <c r="A1203" s="9" t="s">
        <v>1354</v>
      </c>
      <c r="B1203" s="10" t="s">
        <v>31</v>
      </c>
      <c r="C1203" s="11">
        <v>45838</v>
      </c>
      <c r="D1203" s="12">
        <v>617463</v>
      </c>
      <c r="E1203" s="5" t="str">
        <f>_xlfn.XLOOKUP(D1203,[1]!Tabela24[Código consultor],[1]!Tabela24[Consultor Venda],0,0,1)</f>
        <v>DIG - CCO - ALEX AUGUSTO DA CRUZ RODRIGUES</v>
      </c>
      <c r="F1203" s="5" t="str">
        <f>_xlfn.XLOOKUP(D1203,[1]!Tabela24[Código consultor],[1]!Tabela24[Canal Consultor],0,0,1)</f>
        <v>DIGITAL</v>
      </c>
      <c r="G1203" s="10" t="str">
        <f>_xlfn.XLOOKUP(B1203,[1]!Tabela1[[Cidades ]],[1]!Tabela1[Regional],0,0,1)</f>
        <v>Maycon</v>
      </c>
      <c r="H1203" s="13" t="str">
        <f>_xlfn.XLOOKUP(B1203,[1]!Tabela1[[Cidades ]],[1]!Tabela1[Gerente],0,0,1)</f>
        <v>Demais coordenadores</v>
      </c>
    </row>
    <row r="1204" spans="1:8" x14ac:dyDescent="0.3">
      <c r="A1204" s="4" t="s">
        <v>1355</v>
      </c>
      <c r="B1204" s="5" t="s">
        <v>39</v>
      </c>
      <c r="C1204" s="6">
        <v>45838</v>
      </c>
      <c r="D1204" s="7">
        <v>694166</v>
      </c>
      <c r="E1204" s="5" t="str">
        <f>_xlfn.XLOOKUP(D1204,[1]!Tabela24[Código consultor],[1]!Tabela24[Consultor Venda],0,0,1)</f>
        <v>DIG - CCO - CARINE CORREA SOARES</v>
      </c>
      <c r="F1204" s="5" t="str">
        <f>_xlfn.XLOOKUP(D1204,[1]!Tabela24[Código consultor],[1]!Tabela24[Canal Consultor],0,0,1)</f>
        <v>DIGITAL</v>
      </c>
      <c r="G1204" s="5" t="str">
        <f>_xlfn.XLOOKUP(B1204,[1]!Tabela1[[Cidades ]],[1]!Tabela1[Regional],0,0,1)</f>
        <v>Marcio</v>
      </c>
      <c r="H1204" s="8" t="str">
        <f>_xlfn.XLOOKUP(B1204,[1]!Tabela1[[Cidades ]],[1]!Tabela1[Gerente],0,0,1)</f>
        <v>Demais coordenadores</v>
      </c>
    </row>
    <row r="1205" spans="1:8" x14ac:dyDescent="0.3">
      <c r="A1205" s="9" t="s">
        <v>1235</v>
      </c>
      <c r="B1205" s="10" t="s">
        <v>15</v>
      </c>
      <c r="C1205" s="11">
        <v>45838</v>
      </c>
      <c r="D1205" s="12">
        <v>788656</v>
      </c>
      <c r="E1205" s="5" t="str">
        <f>_xlfn.XLOOKUP(D1205,[1]!Tabela24[Código consultor],[1]!Tabela24[Consultor Venda],0,0,1)</f>
        <v>PAR - STB - PAP - JOY TELECOM - GABRIELA ALVES DE GODOY</v>
      </c>
      <c r="F1205" s="5" t="str">
        <f>_xlfn.XLOOKUP(D1205,[1]!Tabela24[Código consultor],[1]!Tabela24[Canal Consultor],0,0,1)</f>
        <v>PAR_DIG</v>
      </c>
      <c r="G1205" s="10" t="str">
        <f>_xlfn.XLOOKUP(B1205,[1]!Tabela1[[Cidades ]],[1]!Tabela1[Regional],0,0,1)</f>
        <v>Marcio</v>
      </c>
      <c r="H1205" s="13" t="str">
        <f>_xlfn.XLOOKUP(B1205,[1]!Tabela1[[Cidades ]],[1]!Tabela1[Gerente],0,0,1)</f>
        <v>Demais coordenadores</v>
      </c>
    </row>
    <row r="1206" spans="1:8" x14ac:dyDescent="0.3">
      <c r="A1206" s="4" t="s">
        <v>1356</v>
      </c>
      <c r="B1206" s="5" t="s">
        <v>32</v>
      </c>
      <c r="C1206" s="6">
        <v>45838</v>
      </c>
      <c r="D1206" s="7">
        <v>867522</v>
      </c>
      <c r="E1206" s="5" t="str">
        <f>_xlfn.XLOOKUP(D1206,[1]!Tabela24[Código consultor],[1]!Tabela24[Consultor Venda],0,0,1)</f>
        <v>COM - IGA - SANDRO CESAR MARTINS</v>
      </c>
      <c r="F1206" s="5" t="str">
        <f>_xlfn.XLOOKUP(D1206,[1]!Tabela24[Código consultor],[1]!Tabela24[Canal Consultor],0,0,1)</f>
        <v>Pap</v>
      </c>
      <c r="G1206" s="5" t="str">
        <f>_xlfn.XLOOKUP(B1206,[1]!Tabela1[[Cidades ]],[1]!Tabela1[Regional],0,0,1)</f>
        <v>Jean</v>
      </c>
      <c r="H1206" s="8" t="str">
        <f>_xlfn.XLOOKUP(B1206,[1]!Tabela1[[Cidades ]],[1]!Tabela1[Gerente],0,0,1)</f>
        <v>Demais coordenadores</v>
      </c>
    </row>
    <row r="1207" spans="1:8" x14ac:dyDescent="0.3">
      <c r="A1207" s="9" t="s">
        <v>1238</v>
      </c>
      <c r="B1207" s="10" t="s">
        <v>10</v>
      </c>
      <c r="C1207" s="11">
        <v>45838</v>
      </c>
      <c r="D1207" s="12">
        <v>794227</v>
      </c>
      <c r="E1207" s="5" t="str">
        <f>_xlfn.XLOOKUP(D1207,[1]!Tabela24[Código consultor],[1]!Tabela24[Consultor Venda],0,0,1)</f>
        <v>PAR - PAP - TECH PERFORMANCE - Dario de Oliveira</v>
      </c>
      <c r="F1207" s="5" t="str">
        <f>_xlfn.XLOOKUP(D1207,[1]!Tabela24[Código consultor],[1]!Tabela24[Canal Consultor],0,0,1)</f>
        <v>Par</v>
      </c>
      <c r="G1207" s="10" t="str">
        <f>_xlfn.XLOOKUP(B1207,[1]!Tabela1[[Cidades ]],[1]!Tabela1[Regional],0,0,1)</f>
        <v>Jean</v>
      </c>
      <c r="H1207" s="13" t="str">
        <f>_xlfn.XLOOKUP(B1207,[1]!Tabela1[[Cidades ]],[1]!Tabela1[Gerente],0,0,1)</f>
        <v>Demais coordenadores</v>
      </c>
    </row>
    <row r="1208" spans="1:8" x14ac:dyDescent="0.3">
      <c r="A1208" s="4" t="s">
        <v>1357</v>
      </c>
      <c r="B1208" s="5" t="s">
        <v>27</v>
      </c>
      <c r="C1208" s="6">
        <v>45838</v>
      </c>
      <c r="D1208" s="7">
        <v>844442</v>
      </c>
      <c r="E1208" s="5" t="str">
        <f>_xlfn.XLOOKUP(D1208,[1]!Tabela24[Código consultor],[1]!Tabela24[Consultor Venda],0,0,1)</f>
        <v>COM - VAA - EMILLY SILVA</v>
      </c>
      <c r="F1208" s="5" t="str">
        <f>_xlfn.XLOOKUP(D1208,[1]!Tabela24[Código consultor],[1]!Tabela24[Canal Consultor],0,0,1)</f>
        <v>Pap</v>
      </c>
      <c r="G1208" s="5" t="str">
        <f>_xlfn.XLOOKUP(B1208,[1]!Tabela1[[Cidades ]],[1]!Tabela1[Regional],0,0,1)</f>
        <v>Alisson</v>
      </c>
      <c r="H1208" s="8" t="str">
        <f>_xlfn.XLOOKUP(B1208,[1]!Tabela1[[Cidades ]],[1]!Tabela1[Gerente],0,0,1)</f>
        <v>Tatiane</v>
      </c>
    </row>
    <row r="1209" spans="1:8" x14ac:dyDescent="0.3">
      <c r="A1209" s="9" t="s">
        <v>1358</v>
      </c>
      <c r="B1209" s="10" t="s">
        <v>94</v>
      </c>
      <c r="C1209" s="11">
        <v>45838</v>
      </c>
      <c r="D1209" s="12">
        <v>399007</v>
      </c>
      <c r="E1209" s="5" t="str">
        <f>_xlfn.XLOOKUP(D1209,[1]!Tabela24[Código consultor],[1]!Tabela24[Consultor Venda],0,0,1)</f>
        <v>PAR - COM - TND - MP INFORMÁTICA - SIDNEI JOSE MOI</v>
      </c>
      <c r="F1209" s="5" t="str">
        <f>_xlfn.XLOOKUP(D1209,[1]!Tabela24[Código consultor],[1]!Tabela24[Canal Consultor],0,0,1)</f>
        <v>PAR</v>
      </c>
      <c r="G1209" s="10" t="str">
        <f>_xlfn.XLOOKUP(B1209,[1]!Tabela1[[Cidades ]],[1]!Tabela1[Regional],0,0,1)</f>
        <v>Alisson</v>
      </c>
      <c r="H1209" s="13" t="str">
        <f>_xlfn.XLOOKUP(B1209,[1]!Tabela1[[Cidades ]],[1]!Tabela1[Gerente],0,0,1)</f>
        <v>Helena</v>
      </c>
    </row>
    <row r="1210" spans="1:8" x14ac:dyDescent="0.3">
      <c r="A1210" s="4" t="s">
        <v>1359</v>
      </c>
      <c r="B1210" s="5" t="s">
        <v>70</v>
      </c>
      <c r="C1210" s="6">
        <v>45838</v>
      </c>
      <c r="D1210" s="7">
        <v>883819</v>
      </c>
      <c r="E1210" s="5" t="str">
        <f>_xlfn.XLOOKUP(D1210,[1]!Tabela24[Código consultor],[1]!Tabela24[Consultor Venda],0,0,1)</f>
        <v>COM - PAS - MARIA LUIZA NECHER DA SILVEIRA</v>
      </c>
      <c r="F1210" s="5" t="str">
        <f>_xlfn.XLOOKUP(D1210,[1]!Tabela24[Código consultor],[1]!Tabela24[Canal Consultor],0,0,1)</f>
        <v>INTERNO</v>
      </c>
      <c r="G1210" s="5" t="str">
        <f>_xlfn.XLOOKUP(B1210,[1]!Tabela1[[Cidades ]],[1]!Tabela1[Regional],0,0,1)</f>
        <v>Alisson</v>
      </c>
      <c r="H1210" s="8" t="str">
        <f>_xlfn.XLOOKUP(B1210,[1]!Tabela1[[Cidades ]],[1]!Tabela1[Gerente],0,0,1)</f>
        <v>Ariana</v>
      </c>
    </row>
    <row r="1211" spans="1:8" x14ac:dyDescent="0.3">
      <c r="A1211" s="9" t="s">
        <v>1360</v>
      </c>
      <c r="B1211" s="10" t="s">
        <v>22</v>
      </c>
      <c r="C1211" s="11">
        <v>45838</v>
      </c>
      <c r="D1211" s="12">
        <v>822770</v>
      </c>
      <c r="E1211" s="5" t="str">
        <f>_xlfn.XLOOKUP(D1211,[1]!Tabela24[Código consultor],[1]!Tabela24[Consultor Venda],0,0,1)</f>
        <v>COM - SCR - VINICIUS ALCEMAR DA SILVA</v>
      </c>
      <c r="F1211" s="5" t="str">
        <f>_xlfn.XLOOKUP(D1211,[1]!Tabela24[Código consultor],[1]!Tabela24[Canal Consultor],0,0,1)</f>
        <v>Pap</v>
      </c>
      <c r="G1211" s="10" t="str">
        <f>_xlfn.XLOOKUP(B1211,[1]!Tabela1[[Cidades ]],[1]!Tabela1[Regional],0,0,1)</f>
        <v>Magno</v>
      </c>
      <c r="H1211" s="13" t="str">
        <f>_xlfn.XLOOKUP(B1211,[1]!Tabela1[[Cidades ]],[1]!Tabela1[Gerente],0,0,1)</f>
        <v>Demais coordenadores</v>
      </c>
    </row>
    <row r="1212" spans="1:8" x14ac:dyDescent="0.3">
      <c r="A1212" s="4" t="s">
        <v>1239</v>
      </c>
      <c r="B1212" s="5" t="s">
        <v>38</v>
      </c>
      <c r="C1212" s="6">
        <v>45838</v>
      </c>
      <c r="D1212" s="7">
        <v>559912</v>
      </c>
      <c r="E1212" s="5" t="str">
        <f>_xlfn.XLOOKUP(D1212,[1]!Tabela24[Código consultor],[1]!Tabela24[Consultor Venda],0,0,1)</f>
        <v>COM - TEB - DEVAIR DE JESUS TALEVI</v>
      </c>
      <c r="F1212" s="5" t="str">
        <f>_xlfn.XLOOKUP(D1212,[1]!Tabela24[Código consultor],[1]!Tabela24[Canal Consultor],0,0,1)</f>
        <v>Pap</v>
      </c>
      <c r="G1212" s="5" t="str">
        <f>_xlfn.XLOOKUP(B1212,[1]!Tabela1[[Cidades ]],[1]!Tabela1[Regional],0,0,1)</f>
        <v>Jean</v>
      </c>
      <c r="H1212" s="8" t="str">
        <f>_xlfn.XLOOKUP(B1212,[1]!Tabela1[[Cidades ]],[1]!Tabela1[Gerente],0,0,1)</f>
        <v>Demais coordenadores</v>
      </c>
    </row>
    <row r="1213" spans="1:8" x14ac:dyDescent="0.3">
      <c r="A1213" s="9" t="s">
        <v>1240</v>
      </c>
      <c r="B1213" s="10" t="s">
        <v>39</v>
      </c>
      <c r="C1213" s="11">
        <v>45838</v>
      </c>
      <c r="D1213" s="12">
        <v>235841</v>
      </c>
      <c r="E1213" s="5" t="str">
        <f>_xlfn.XLOOKUP(D1213,[1]!Tabela24[Código consultor],[1]!Tabela24[Consultor Venda],0,0,1)</f>
        <v>DIG - CCO - KAUANA BONI</v>
      </c>
      <c r="F1213" s="5" t="str">
        <f>_xlfn.XLOOKUP(D1213,[1]!Tabela24[Código consultor],[1]!Tabela24[Canal Consultor],0,0,1)</f>
        <v>DIGITAL</v>
      </c>
      <c r="G1213" s="10" t="str">
        <f>_xlfn.XLOOKUP(B1213,[1]!Tabela1[[Cidades ]],[1]!Tabela1[Regional],0,0,1)</f>
        <v>Marcio</v>
      </c>
      <c r="H1213" s="13" t="str">
        <f>_xlfn.XLOOKUP(B1213,[1]!Tabela1[[Cidades ]],[1]!Tabela1[Gerente],0,0,1)</f>
        <v>Demais coordenadores</v>
      </c>
    </row>
    <row r="1214" spans="1:8" x14ac:dyDescent="0.3">
      <c r="A1214" s="4" t="s">
        <v>1361</v>
      </c>
      <c r="B1214" s="5" t="s">
        <v>39</v>
      </c>
      <c r="C1214" s="6">
        <v>45838</v>
      </c>
      <c r="D1214" s="7">
        <v>637113</v>
      </c>
      <c r="E1214" s="5" t="str">
        <f>_xlfn.XLOOKUP(D1214,[1]!Tabela24[Código consultor],[1]!Tabela24[Consultor Venda],0,0,1)</f>
        <v>COM - LGS - VANESSA LOPES MUNIZ</v>
      </c>
      <c r="F1214" s="5" t="str">
        <f>_xlfn.XLOOKUP(D1214,[1]!Tabela24[Código consultor],[1]!Tabela24[Canal Consultor],0,0,1)</f>
        <v>INTERNO</v>
      </c>
      <c r="G1214" s="5" t="str">
        <f>_xlfn.XLOOKUP(B1214,[1]!Tabela1[[Cidades ]],[1]!Tabela1[Regional],0,0,1)</f>
        <v>Marcio</v>
      </c>
      <c r="H1214" s="8" t="str">
        <f>_xlfn.XLOOKUP(B1214,[1]!Tabela1[[Cidades ]],[1]!Tabela1[Gerente],0,0,1)</f>
        <v>Demais coordenadores</v>
      </c>
    </row>
    <row r="1215" spans="1:8" x14ac:dyDescent="0.3">
      <c r="A1215" s="9" t="s">
        <v>1362</v>
      </c>
      <c r="B1215" s="10" t="s">
        <v>23</v>
      </c>
      <c r="C1215" s="11">
        <v>45838</v>
      </c>
      <c r="D1215" s="12">
        <v>861705</v>
      </c>
      <c r="E1215" s="5" t="str">
        <f>_xlfn.XLOOKUP(D1215,[1]!Tabela24[Código consultor],[1]!Tabela24[Consultor Venda],0,0,1)</f>
        <v>PAR - COM - PAP - TQR - ERIKA DE OLIVEIRA GALLE</v>
      </c>
      <c r="F1215" s="5" t="str">
        <f>_xlfn.XLOOKUP(D1215,[1]!Tabela24[Código consultor],[1]!Tabela24[Canal Consultor],0,0,1)</f>
        <v>PAR</v>
      </c>
      <c r="G1215" s="10" t="str">
        <f>_xlfn.XLOOKUP(B1215,[1]!Tabela1[[Cidades ]],[1]!Tabela1[Regional],0,0,1)</f>
        <v>Magno</v>
      </c>
      <c r="H1215" s="13" t="str">
        <f>_xlfn.XLOOKUP(B1215,[1]!Tabela1[[Cidades ]],[1]!Tabela1[Gerente],0,0,1)</f>
        <v>Demais coordenadores</v>
      </c>
    </row>
    <row r="1216" spans="1:8" x14ac:dyDescent="0.3">
      <c r="A1216" s="4" t="s">
        <v>1241</v>
      </c>
      <c r="B1216" s="5" t="s">
        <v>38</v>
      </c>
      <c r="C1216" s="6">
        <v>45838</v>
      </c>
      <c r="D1216" s="7">
        <v>617463</v>
      </c>
      <c r="E1216" s="5" t="str">
        <f>_xlfn.XLOOKUP(D1216,[1]!Tabela24[Código consultor],[1]!Tabela24[Consultor Venda],0,0,1)</f>
        <v>DIG - CCO - ALEX AUGUSTO DA CRUZ RODRIGUES</v>
      </c>
      <c r="F1216" s="5" t="str">
        <f>_xlfn.XLOOKUP(D1216,[1]!Tabela24[Código consultor],[1]!Tabela24[Canal Consultor],0,0,1)</f>
        <v>DIGITAL</v>
      </c>
      <c r="G1216" s="5" t="str">
        <f>_xlfn.XLOOKUP(B1216,[1]!Tabela1[[Cidades ]],[1]!Tabela1[Regional],0,0,1)</f>
        <v>Jean</v>
      </c>
      <c r="H1216" s="8" t="str">
        <f>_xlfn.XLOOKUP(B1216,[1]!Tabela1[[Cidades ]],[1]!Tabela1[Gerente],0,0,1)</f>
        <v>Demais coordenadores</v>
      </c>
    </row>
    <row r="1217" spans="1:8" x14ac:dyDescent="0.3">
      <c r="A1217" s="9" t="s">
        <v>1242</v>
      </c>
      <c r="B1217" s="10" t="s">
        <v>12</v>
      </c>
      <c r="C1217" s="11">
        <v>45838</v>
      </c>
      <c r="D1217" s="12">
        <v>40828</v>
      </c>
      <c r="E1217" s="5" t="str">
        <f>_xlfn.XLOOKUP(D1217,[1]!Tabela24[Código consultor],[1]!Tabela24[Consultor Venda],0,0,1)</f>
        <v>COM - PGO - CRISTIANE APARECIDA CHIAMULERA</v>
      </c>
      <c r="F1217" s="5" t="str">
        <f>_xlfn.XLOOKUP(D1217,[1]!Tabela24[Código consultor],[1]!Tabela24[Canal Consultor],0,0,1)</f>
        <v>Pap</v>
      </c>
      <c r="G1217" s="10" t="str">
        <f>_xlfn.XLOOKUP(B1217,[1]!Tabela1[[Cidades ]],[1]!Tabela1[Regional],0,0,1)</f>
        <v>Jean</v>
      </c>
      <c r="H1217" s="13" t="str">
        <f>_xlfn.XLOOKUP(B1217,[1]!Tabela1[[Cidades ]],[1]!Tabela1[Gerente],0,0,1)</f>
        <v>Demais coordenadores</v>
      </c>
    </row>
    <row r="1218" spans="1:8" x14ac:dyDescent="0.3">
      <c r="A1218" s="4" t="s">
        <v>1363</v>
      </c>
      <c r="B1218" s="5" t="s">
        <v>15</v>
      </c>
      <c r="C1218" s="6">
        <v>45839</v>
      </c>
      <c r="D1218" s="7">
        <v>794227</v>
      </c>
      <c r="E1218" s="5" t="str">
        <f>_xlfn.XLOOKUP(D1218,[1]!Tabela24[Código consultor],[1]!Tabela24[Consultor Venda],0,0,1)</f>
        <v>PAR - PAP - TECH PERFORMANCE - Dario de Oliveira</v>
      </c>
      <c r="F1218" s="5" t="str">
        <f>_xlfn.XLOOKUP(D1218,[1]!Tabela24[Código consultor],[1]!Tabela24[Canal Consultor],0,0,1)</f>
        <v>Par</v>
      </c>
      <c r="G1218" s="5" t="str">
        <f>_xlfn.XLOOKUP(B1218,[1]!Tabela1[[Cidades ]],[1]!Tabela1[Regional],0,0,1)</f>
        <v>Marcio</v>
      </c>
      <c r="H1218" s="8" t="str">
        <f>_xlfn.XLOOKUP(B1218,[1]!Tabela1[[Cidades ]],[1]!Tabela1[Gerente],0,0,1)</f>
        <v>Demais coordenadores</v>
      </c>
    </row>
    <row r="1219" spans="1:8" x14ac:dyDescent="0.3">
      <c r="A1219" s="9" t="s">
        <v>1364</v>
      </c>
      <c r="B1219" s="10" t="s">
        <v>29</v>
      </c>
      <c r="C1219" s="11">
        <v>45839</v>
      </c>
      <c r="D1219" s="12">
        <v>811004</v>
      </c>
      <c r="E1219" s="5" t="str">
        <f>_xlfn.XLOOKUP(D1219,[1]!Tabela24[Código consultor],[1]!Tabela24[Consultor Venda],0,0,1)</f>
        <v>COM - TOO - GABRIELLY VAZQUES DE LIMA</v>
      </c>
      <c r="F1219" s="5" t="str">
        <f>_xlfn.XLOOKUP(D1219,[1]!Tabela24[Código consultor],[1]!Tabela24[Canal Consultor],0,0,1)</f>
        <v>INTERNO</v>
      </c>
      <c r="G1219" s="10" t="str">
        <f>_xlfn.XLOOKUP(B1219,[1]!Tabela1[[Cidades ]],[1]!Tabela1[Regional],0,0,1)</f>
        <v>Adilson</v>
      </c>
      <c r="H1219" s="13" t="str">
        <f>_xlfn.XLOOKUP(B1219,[1]!Tabela1[[Cidades ]],[1]!Tabela1[Gerente],0,0,1)</f>
        <v>Demais coordenadores</v>
      </c>
    </row>
    <row r="1220" spans="1:8" x14ac:dyDescent="0.3">
      <c r="A1220" s="4" t="s">
        <v>1365</v>
      </c>
      <c r="B1220" s="5" t="s">
        <v>26</v>
      </c>
      <c r="C1220" s="6">
        <v>45839</v>
      </c>
      <c r="D1220" s="7">
        <v>827043</v>
      </c>
      <c r="E1220" s="5" t="str">
        <f>_xlfn.XLOOKUP(D1220,[1]!Tabela24[Código consultor],[1]!Tabela24[Consultor Venda],0,0,1)</f>
        <v>COM - CAN - KETLYN DA ROSA PEREIRA</v>
      </c>
      <c r="F1220" s="5" t="str">
        <f>_xlfn.XLOOKUP(D1220,[1]!Tabela24[Código consultor],[1]!Tabela24[Canal Consultor],0,0,1)</f>
        <v>INTERNO</v>
      </c>
      <c r="G1220" s="5" t="str">
        <f>_xlfn.XLOOKUP(B1220,[1]!Tabela1[[Cidades ]],[1]!Tabela1[Regional],0,0,1)</f>
        <v>Magno</v>
      </c>
      <c r="H1220" s="8" t="str">
        <f>_xlfn.XLOOKUP(B1220,[1]!Tabela1[[Cidades ]],[1]!Tabela1[Gerente],0,0,1)</f>
        <v>Demais coordenadores</v>
      </c>
    </row>
    <row r="1221" spans="1:8" x14ac:dyDescent="0.3">
      <c r="A1221" s="9" t="s">
        <v>1366</v>
      </c>
      <c r="B1221" s="10" t="s">
        <v>47</v>
      </c>
      <c r="C1221" s="11">
        <v>45839</v>
      </c>
      <c r="D1221" s="12">
        <v>872253</v>
      </c>
      <c r="E1221" s="5" t="str">
        <f>_xlfn.XLOOKUP(D1221,[1]!Tabela24[Código consultor],[1]!Tabela24[Consultor Venda],0,0,1)</f>
        <v>COM - VAI - JULIA GABRIELA DE QUADRA BARBOSA</v>
      </c>
      <c r="F1221" s="5" t="str">
        <f>_xlfn.XLOOKUP(D1221,[1]!Tabela24[Código consultor],[1]!Tabela24[Canal Consultor],0,0,1)</f>
        <v>INTERNO</v>
      </c>
      <c r="G1221" s="10" t="str">
        <f>_xlfn.XLOOKUP(B1221,[1]!Tabela1[[Cidades ]],[1]!Tabela1[Regional],0,0,1)</f>
        <v>Magno</v>
      </c>
      <c r="H1221" s="13" t="str">
        <f>_xlfn.XLOOKUP(B1221,[1]!Tabela1[[Cidades ]],[1]!Tabela1[Gerente],0,0,1)</f>
        <v>Demais coordenadores</v>
      </c>
    </row>
    <row r="1222" spans="1:8" x14ac:dyDescent="0.3">
      <c r="A1222" s="4" t="s">
        <v>1367</v>
      </c>
      <c r="B1222" s="5" t="s">
        <v>39</v>
      </c>
      <c r="C1222" s="6">
        <v>45839</v>
      </c>
      <c r="D1222" s="7">
        <v>235841</v>
      </c>
      <c r="E1222" s="5" t="str">
        <f>_xlfn.XLOOKUP(D1222,[1]!Tabela24[Código consultor],[1]!Tabela24[Consultor Venda],0,0,1)</f>
        <v>DIG - CCO - KAUANA BONI</v>
      </c>
      <c r="F1222" s="5" t="str">
        <f>_xlfn.XLOOKUP(D1222,[1]!Tabela24[Código consultor],[1]!Tabela24[Canal Consultor],0,0,1)</f>
        <v>DIGITAL</v>
      </c>
      <c r="G1222" s="5" t="str">
        <f>_xlfn.XLOOKUP(B1222,[1]!Tabela1[[Cidades ]],[1]!Tabela1[Regional],0,0,1)</f>
        <v>Marcio</v>
      </c>
      <c r="H1222" s="8" t="str">
        <f>_xlfn.XLOOKUP(B1222,[1]!Tabela1[[Cidades ]],[1]!Tabela1[Gerente],0,0,1)</f>
        <v>Demais coordenadores</v>
      </c>
    </row>
    <row r="1223" spans="1:8" x14ac:dyDescent="0.3">
      <c r="A1223" s="9" t="s">
        <v>1368</v>
      </c>
      <c r="B1223" s="10" t="s">
        <v>12</v>
      </c>
      <c r="C1223" s="11">
        <v>45839</v>
      </c>
      <c r="D1223" s="12">
        <v>236724</v>
      </c>
      <c r="E1223" s="5" t="str">
        <f>_xlfn.XLOOKUP(D1223,[1]!Tabela24[Código consultor],[1]!Tabela24[Consultor Venda],0,0,1)</f>
        <v>COM - PGO - MAISE GABRIELLY BATISTA</v>
      </c>
      <c r="F1223" s="5" t="str">
        <f>_xlfn.XLOOKUP(D1223,[1]!Tabela24[Código consultor],[1]!Tabela24[Canal Consultor],0,0,1)</f>
        <v>INTERNO</v>
      </c>
      <c r="G1223" s="10" t="str">
        <f>_xlfn.XLOOKUP(B1223,[1]!Tabela1[[Cidades ]],[1]!Tabela1[Regional],0,0,1)</f>
        <v>Jean</v>
      </c>
      <c r="H1223" s="13" t="str">
        <f>_xlfn.XLOOKUP(B1223,[1]!Tabela1[[Cidades ]],[1]!Tabela1[Gerente],0,0,1)</f>
        <v>Demais coordenadores</v>
      </c>
    </row>
    <row r="1224" spans="1:8" x14ac:dyDescent="0.3">
      <c r="A1224" s="4" t="s">
        <v>1369</v>
      </c>
      <c r="B1224" s="5" t="s">
        <v>11</v>
      </c>
      <c r="C1224" s="6">
        <v>45839</v>
      </c>
      <c r="D1224" s="7">
        <v>788656</v>
      </c>
      <c r="E1224" s="5" t="str">
        <f>_xlfn.XLOOKUP(D1224,[1]!Tabela24[Código consultor],[1]!Tabela24[Consultor Venda],0,0,1)</f>
        <v>PAR - STB - PAP - JOY TELECOM - GABRIELA ALVES DE GODOY</v>
      </c>
      <c r="F1224" s="5" t="str">
        <f>_xlfn.XLOOKUP(D1224,[1]!Tabela24[Código consultor],[1]!Tabela24[Canal Consultor],0,0,1)</f>
        <v>PAR_DIG</v>
      </c>
      <c r="G1224" s="5" t="str">
        <f>_xlfn.XLOOKUP(B1224,[1]!Tabela1[[Cidades ]],[1]!Tabela1[Regional],0,0,1)</f>
        <v>Magno</v>
      </c>
      <c r="H1224" s="8" t="str">
        <f>_xlfn.XLOOKUP(B1224,[1]!Tabela1[[Cidades ]],[1]!Tabela1[Gerente],0,0,1)</f>
        <v>Demais coordenadores</v>
      </c>
    </row>
    <row r="1225" spans="1:8" x14ac:dyDescent="0.3">
      <c r="A1225" s="9" t="s">
        <v>1370</v>
      </c>
      <c r="B1225" s="10" t="s">
        <v>31</v>
      </c>
      <c r="C1225" s="11">
        <v>45839</v>
      </c>
      <c r="D1225" s="12">
        <v>822704</v>
      </c>
      <c r="E1225" s="5" t="str">
        <f>_xlfn.XLOOKUP(D1225,[1]!Tabela24[Código consultor],[1]!Tabela24[Consultor Venda],0,0,1)</f>
        <v>PAR - PAP - V S MONTEIRO - VINICIUS SILVA MONTEIRO</v>
      </c>
      <c r="F1225" s="5" t="str">
        <f>_xlfn.XLOOKUP(D1225,[1]!Tabela24[Código consultor],[1]!Tabela24[Canal Consultor],0,0,1)</f>
        <v>PAR</v>
      </c>
      <c r="G1225" s="10" t="str">
        <f>_xlfn.XLOOKUP(B1225,[1]!Tabela1[[Cidades ]],[1]!Tabela1[Regional],0,0,1)</f>
        <v>Maycon</v>
      </c>
      <c r="H1225" s="13" t="str">
        <f>_xlfn.XLOOKUP(B1225,[1]!Tabela1[[Cidades ]],[1]!Tabela1[Gerente],0,0,1)</f>
        <v>Demais coordenadores</v>
      </c>
    </row>
    <row r="1226" spans="1:8" x14ac:dyDescent="0.3">
      <c r="A1226" s="4" t="s">
        <v>1371</v>
      </c>
      <c r="B1226" s="5" t="s">
        <v>31</v>
      </c>
      <c r="C1226" s="6">
        <v>45839</v>
      </c>
      <c r="D1226" s="7">
        <v>197832</v>
      </c>
      <c r="E1226" s="5" t="str">
        <f>_xlfn.XLOOKUP(D1226,[1]!Tabela24[Código consultor],[1]!Tabela24[Consultor Venda],0,0,1)</f>
        <v>DIG - CCO - RAIANE BERGAMIN</v>
      </c>
      <c r="F1226" s="5" t="str">
        <f>_xlfn.XLOOKUP(D1226,[1]!Tabela24[Código consultor],[1]!Tabela24[Canal Consultor],0,0,1)</f>
        <v>DIGITAL</v>
      </c>
      <c r="G1226" s="5" t="str">
        <f>_xlfn.XLOOKUP(B1226,[1]!Tabela1[[Cidades ]],[1]!Tabela1[Regional],0,0,1)</f>
        <v>Maycon</v>
      </c>
      <c r="H1226" s="8" t="str">
        <f>_xlfn.XLOOKUP(B1226,[1]!Tabela1[[Cidades ]],[1]!Tabela1[Gerente],0,0,1)</f>
        <v>Demais coordenadores</v>
      </c>
    </row>
    <row r="1227" spans="1:8" x14ac:dyDescent="0.3">
      <c r="A1227" s="9" t="s">
        <v>1372</v>
      </c>
      <c r="B1227" s="10" t="s">
        <v>111</v>
      </c>
      <c r="C1227" s="11">
        <v>45839</v>
      </c>
      <c r="D1227" s="12">
        <v>110</v>
      </c>
      <c r="E1227" s="5" t="str">
        <f>_xlfn.XLOOKUP(D1227,[1]!Tabela24[Código consultor],[1]!Tabela24[Consultor Venda],0,0,1)</f>
        <v>PAR - INTE - STHO - JACKSON HAAS - JACKSON HAAS</v>
      </c>
      <c r="F1227" s="5" t="str">
        <f>_xlfn.XLOOKUP(D1227,[1]!Tabela24[Código consultor],[1]!Tabela24[Canal Consultor],0,0,1)</f>
        <v>PAR</v>
      </c>
      <c r="G1227" s="10" t="str">
        <f>_xlfn.XLOOKUP(B1227,[1]!Tabela1[[Cidades ]],[1]!Tabela1[Regional],0,0,1)</f>
        <v>Maycon</v>
      </c>
      <c r="H1227" s="13" t="str">
        <f>_xlfn.XLOOKUP(B1227,[1]!Tabela1[[Cidades ]],[1]!Tabela1[Gerente],0,0,1)</f>
        <v>Demais coordenadores</v>
      </c>
    </row>
    <row r="1228" spans="1:8" x14ac:dyDescent="0.3">
      <c r="A1228" s="4" t="s">
        <v>188</v>
      </c>
      <c r="B1228" s="5" t="s">
        <v>27</v>
      </c>
      <c r="C1228" s="6">
        <v>45839</v>
      </c>
      <c r="D1228" s="7">
        <v>694166</v>
      </c>
      <c r="E1228" s="5" t="str">
        <f>_xlfn.XLOOKUP(D1228,[1]!Tabela24[Código consultor],[1]!Tabela24[Consultor Venda],0,0,1)</f>
        <v>DIG - CCO - CARINE CORREA SOARES</v>
      </c>
      <c r="F1228" s="5" t="str">
        <f>_xlfn.XLOOKUP(D1228,[1]!Tabela24[Código consultor],[1]!Tabela24[Canal Consultor],0,0,1)</f>
        <v>DIGITAL</v>
      </c>
      <c r="G1228" s="5" t="str">
        <f>_xlfn.XLOOKUP(B1228,[1]!Tabela1[[Cidades ]],[1]!Tabela1[Regional],0,0,1)</f>
        <v>Alisson</v>
      </c>
      <c r="H1228" s="8" t="str">
        <f>_xlfn.XLOOKUP(B1228,[1]!Tabela1[[Cidades ]],[1]!Tabela1[Gerente],0,0,1)</f>
        <v>Tatiane</v>
      </c>
    </row>
    <row r="1229" spans="1:8" x14ac:dyDescent="0.3">
      <c r="A1229" s="9" t="s">
        <v>1376</v>
      </c>
      <c r="B1229" s="10" t="s">
        <v>11</v>
      </c>
      <c r="C1229" s="11">
        <v>45839</v>
      </c>
      <c r="D1229" s="12">
        <v>861705</v>
      </c>
      <c r="E1229" s="5" t="str">
        <f>_xlfn.XLOOKUP(D1229,[1]!Tabela24[Código consultor],[1]!Tabela24[Consultor Venda],0,0,1)</f>
        <v>PAR - COM - PAP - TQR - ERIKA DE OLIVEIRA GALLE</v>
      </c>
      <c r="F1229" s="5" t="str">
        <f>_xlfn.XLOOKUP(D1229,[1]!Tabela24[Código consultor],[1]!Tabela24[Canal Consultor],0,0,1)</f>
        <v>PAR</v>
      </c>
      <c r="G1229" s="10" t="str">
        <f>_xlfn.XLOOKUP(B1229,[1]!Tabela1[[Cidades ]],[1]!Tabela1[Regional],0,0,1)</f>
        <v>Magno</v>
      </c>
      <c r="H1229" s="13" t="str">
        <f>_xlfn.XLOOKUP(B1229,[1]!Tabela1[[Cidades ]],[1]!Tabela1[Gerente],0,0,1)</f>
        <v>Demais coordenadores</v>
      </c>
    </row>
    <row r="1230" spans="1:8" x14ac:dyDescent="0.3">
      <c r="A1230" s="4" t="s">
        <v>163</v>
      </c>
      <c r="B1230" s="5" t="s">
        <v>35</v>
      </c>
      <c r="C1230" s="6">
        <v>45839</v>
      </c>
      <c r="D1230" s="7">
        <v>174294</v>
      </c>
      <c r="E1230" s="5" t="str">
        <f>_xlfn.XLOOKUP(D1230,[1]!Tabela24[Código consultor],[1]!Tabela24[Consultor Venda],0,0,1)</f>
        <v>COM - FRL - HELENA BRIZOLA SANTOS</v>
      </c>
      <c r="F1230" s="5" t="str">
        <f>_xlfn.XLOOKUP(D1230,[1]!Tabela24[Código consultor],[1]!Tabela24[Canal Consultor],0,0,1)</f>
        <v>INTERNO</v>
      </c>
      <c r="G1230" s="5" t="str">
        <f>_xlfn.XLOOKUP(B1230,[1]!Tabela1[[Cidades ]],[1]!Tabela1[Regional],0,0,1)</f>
        <v>Magno</v>
      </c>
      <c r="H1230" s="8" t="str">
        <f>_xlfn.XLOOKUP(B1230,[1]!Tabela1[[Cidades ]],[1]!Tabela1[Gerente],0,0,1)</f>
        <v>Demais coordenadores</v>
      </c>
    </row>
    <row r="1231" spans="1:8" x14ac:dyDescent="0.3">
      <c r="A1231" s="9" t="s">
        <v>1379</v>
      </c>
      <c r="B1231" s="10" t="s">
        <v>59</v>
      </c>
      <c r="C1231" s="11">
        <v>45839</v>
      </c>
      <c r="D1231" s="12">
        <v>725079</v>
      </c>
      <c r="E1231" s="5" t="str">
        <f>_xlfn.XLOOKUP(D1231,[1]!Tabela24[Código consultor],[1]!Tabela24[Consultor Venda],0,0,1)</f>
        <v>COM - UMR  - WENDY CAROLINE PELEGRINI</v>
      </c>
      <c r="F1231" s="5" t="str">
        <f>_xlfn.XLOOKUP(D1231,[1]!Tabela24[Código consultor],[1]!Tabela24[Canal Consultor],0,0,1)</f>
        <v>INTERNO</v>
      </c>
      <c r="G1231" s="10" t="str">
        <f>_xlfn.XLOOKUP(B1231,[1]!Tabela1[[Cidades ]],[1]!Tabela1[Regional],0,0,1)</f>
        <v>Adilson</v>
      </c>
      <c r="H1231" s="13" t="str">
        <f>_xlfn.XLOOKUP(B1231,[1]!Tabela1[[Cidades ]],[1]!Tabela1[Gerente],0,0,1)</f>
        <v>Demais coordenadores</v>
      </c>
    </row>
    <row r="1232" spans="1:8" x14ac:dyDescent="0.3">
      <c r="A1232" s="4" t="s">
        <v>1382</v>
      </c>
      <c r="B1232" s="5" t="s">
        <v>97</v>
      </c>
      <c r="C1232" s="6">
        <v>45839</v>
      </c>
      <c r="D1232" s="7">
        <v>235841</v>
      </c>
      <c r="E1232" s="5" t="str">
        <f>_xlfn.XLOOKUP(D1232,[1]!Tabela24[Código consultor],[1]!Tabela24[Consultor Venda],0,0,1)</f>
        <v>DIG - CCO - KAUANA BONI</v>
      </c>
      <c r="F1232" s="5" t="str">
        <f>_xlfn.XLOOKUP(D1232,[1]!Tabela24[Código consultor],[1]!Tabela24[Canal Consultor],0,0,1)</f>
        <v>DIGITAL</v>
      </c>
      <c r="G1232" s="5" t="str">
        <f>_xlfn.XLOOKUP(B1232,[1]!Tabela1[[Cidades ]],[1]!Tabela1[Regional],0,0,1)</f>
        <v>Alisson</v>
      </c>
      <c r="H1232" s="8" t="str">
        <f>_xlfn.XLOOKUP(B1232,[1]!Tabela1[[Cidades ]],[1]!Tabela1[Gerente],0,0,1)</f>
        <v>Helena</v>
      </c>
    </row>
    <row r="1233" spans="1:8" x14ac:dyDescent="0.3">
      <c r="A1233" s="9" t="s">
        <v>1383</v>
      </c>
      <c r="B1233" s="10" t="s">
        <v>16</v>
      </c>
      <c r="C1233" s="11">
        <v>45839</v>
      </c>
      <c r="D1233" s="12">
        <v>834515</v>
      </c>
      <c r="E1233" s="5" t="str">
        <f>_xlfn.XLOOKUP(D1233,[1]!Tabela24[Código consultor],[1]!Tabela24[Consultor Venda],0,0,1)</f>
        <v>COM - CSL - PRISCILA ANTONIELE SILVEIRA ZACARIAS</v>
      </c>
      <c r="F1233" s="5" t="str">
        <f>_xlfn.XLOOKUP(D1233,[1]!Tabela24[Código consultor],[1]!Tabela24[Canal Consultor],0,0,1)</f>
        <v>INTERNO</v>
      </c>
      <c r="G1233" s="10" t="str">
        <f>_xlfn.XLOOKUP(B1233,[1]!Tabela1[[Cidades ]],[1]!Tabela1[Regional],0,0,1)</f>
        <v>Magno</v>
      </c>
      <c r="H1233" s="13" t="str">
        <f>_xlfn.XLOOKUP(B1233,[1]!Tabela1[[Cidades ]],[1]!Tabela1[Gerente],0,0,1)</f>
        <v>Demais coordenadores</v>
      </c>
    </row>
    <row r="1234" spans="1:8" x14ac:dyDescent="0.3">
      <c r="A1234" s="4" t="s">
        <v>1386</v>
      </c>
      <c r="B1234" s="5" t="s">
        <v>30</v>
      </c>
      <c r="C1234" s="6">
        <v>45839</v>
      </c>
      <c r="D1234" s="7">
        <v>235841</v>
      </c>
      <c r="E1234" s="5" t="str">
        <f>_xlfn.XLOOKUP(D1234,[1]!Tabela24[Código consultor],[1]!Tabela24[Consultor Venda],0,0,1)</f>
        <v>DIG - CCO - KAUANA BONI</v>
      </c>
      <c r="F1234" s="5" t="str">
        <f>_xlfn.XLOOKUP(D1234,[1]!Tabela24[Código consultor],[1]!Tabela24[Canal Consultor],0,0,1)</f>
        <v>DIGITAL</v>
      </c>
      <c r="G1234" s="5" t="str">
        <f>_xlfn.XLOOKUP(B1234,[1]!Tabela1[[Cidades ]],[1]!Tabela1[Regional],0,0,1)</f>
        <v>Jean</v>
      </c>
      <c r="H1234" s="8" t="str">
        <f>_xlfn.XLOOKUP(B1234,[1]!Tabela1[[Cidades ]],[1]!Tabela1[Gerente],0,0,1)</f>
        <v>Demais coordenadores</v>
      </c>
    </row>
    <row r="1235" spans="1:8" x14ac:dyDescent="0.3">
      <c r="A1235" s="9" t="s">
        <v>1387</v>
      </c>
      <c r="B1235" s="10" t="s">
        <v>47</v>
      </c>
      <c r="C1235" s="11">
        <v>45839</v>
      </c>
      <c r="D1235" s="12">
        <v>235841</v>
      </c>
      <c r="E1235" s="5" t="str">
        <f>_xlfn.XLOOKUP(D1235,[1]!Tabela24[Código consultor],[1]!Tabela24[Consultor Venda],0,0,1)</f>
        <v>DIG - CCO - KAUANA BONI</v>
      </c>
      <c r="F1235" s="5" t="str">
        <f>_xlfn.XLOOKUP(D1235,[1]!Tabela24[Código consultor],[1]!Tabela24[Canal Consultor],0,0,1)</f>
        <v>DIGITAL</v>
      </c>
      <c r="G1235" s="10" t="str">
        <f>_xlfn.XLOOKUP(B1235,[1]!Tabela1[[Cidades ]],[1]!Tabela1[Regional],0,0,1)</f>
        <v>Magno</v>
      </c>
      <c r="H1235" s="13" t="str">
        <f>_xlfn.XLOOKUP(B1235,[1]!Tabela1[[Cidades ]],[1]!Tabela1[Gerente],0,0,1)</f>
        <v>Demais coordenadores</v>
      </c>
    </row>
    <row r="1236" spans="1:8" x14ac:dyDescent="0.3">
      <c r="A1236" s="4" t="s">
        <v>1389</v>
      </c>
      <c r="B1236" s="5" t="s">
        <v>10</v>
      </c>
      <c r="C1236" s="6">
        <v>45839</v>
      </c>
      <c r="D1236" s="7">
        <v>822704</v>
      </c>
      <c r="E1236" s="5" t="str">
        <f>_xlfn.XLOOKUP(D1236,[1]!Tabela24[Código consultor],[1]!Tabela24[Consultor Venda],0,0,1)</f>
        <v>PAR - PAP - V S MONTEIRO - VINICIUS SILVA MONTEIRO</v>
      </c>
      <c r="F1236" s="5" t="str">
        <f>_xlfn.XLOOKUP(D1236,[1]!Tabela24[Código consultor],[1]!Tabela24[Canal Consultor],0,0,1)</f>
        <v>PAR</v>
      </c>
      <c r="G1236" s="5" t="str">
        <f>_xlfn.XLOOKUP(B1236,[1]!Tabela1[[Cidades ]],[1]!Tabela1[Regional],0,0,1)</f>
        <v>Jean</v>
      </c>
      <c r="H1236" s="8" t="str">
        <f>_xlfn.XLOOKUP(B1236,[1]!Tabela1[[Cidades ]],[1]!Tabela1[Gerente],0,0,1)</f>
        <v>Demais coordenadores</v>
      </c>
    </row>
    <row r="1237" spans="1:8" x14ac:dyDescent="0.3">
      <c r="A1237" s="9" t="s">
        <v>1391</v>
      </c>
      <c r="B1237" s="10" t="s">
        <v>25</v>
      </c>
      <c r="C1237" s="11">
        <v>45839</v>
      </c>
      <c r="D1237" s="12">
        <v>788656</v>
      </c>
      <c r="E1237" s="5" t="str">
        <f>_xlfn.XLOOKUP(D1237,[1]!Tabela24[Código consultor],[1]!Tabela24[Consultor Venda],0,0,1)</f>
        <v>PAR - STB - PAP - JOY TELECOM - GABRIELA ALVES DE GODOY</v>
      </c>
      <c r="F1237" s="5" t="str">
        <f>_xlfn.XLOOKUP(D1237,[1]!Tabela24[Código consultor],[1]!Tabela24[Canal Consultor],0,0,1)</f>
        <v>PAR_DIG</v>
      </c>
      <c r="G1237" s="10" t="str">
        <f>_xlfn.XLOOKUP(B1237,[1]!Tabela1[[Cidades ]],[1]!Tabela1[Regional],0,0,1)</f>
        <v>Maycon</v>
      </c>
      <c r="H1237" s="13" t="str">
        <f>_xlfn.XLOOKUP(B1237,[1]!Tabela1[[Cidades ]],[1]!Tabela1[Gerente],0,0,1)</f>
        <v>Demais coordenadores</v>
      </c>
    </row>
    <row r="1238" spans="1:8" x14ac:dyDescent="0.3">
      <c r="A1238" s="4" t="s">
        <v>1392</v>
      </c>
      <c r="B1238" s="5" t="s">
        <v>94</v>
      </c>
      <c r="C1238" s="6">
        <v>45839</v>
      </c>
      <c r="D1238" s="7">
        <v>396195</v>
      </c>
      <c r="E1238" s="5" t="str">
        <f>_xlfn.XLOOKUP(D1238,[1]!Tabela24[Código consultor],[1]!Tabela24[Consultor Venda],0,0,1)</f>
        <v>O&amp;M - NNI - TEC - ALAERCIO CARVALHO</v>
      </c>
      <c r="F1238" s="5" t="str">
        <f>_xlfn.XLOOKUP(D1238,[1]!Tabela24[Código consultor],[1]!Tabela24[Canal Consultor],0,0,1)</f>
        <v>ADM Interno</v>
      </c>
      <c r="G1238" s="5" t="str">
        <f>_xlfn.XLOOKUP(B1238,[1]!Tabela1[[Cidades ]],[1]!Tabela1[Regional],0,0,1)</f>
        <v>Alisson</v>
      </c>
      <c r="H1238" s="8" t="str">
        <f>_xlfn.XLOOKUP(B1238,[1]!Tabela1[[Cidades ]],[1]!Tabela1[Gerente],0,0,1)</f>
        <v>Helena</v>
      </c>
    </row>
    <row r="1239" spans="1:8" x14ac:dyDescent="0.3">
      <c r="A1239" s="9" t="s">
        <v>1393</v>
      </c>
      <c r="B1239" s="10" t="s">
        <v>12</v>
      </c>
      <c r="C1239" s="11">
        <v>45839</v>
      </c>
      <c r="D1239" s="12">
        <v>788656</v>
      </c>
      <c r="E1239" s="5" t="str">
        <f>_xlfn.XLOOKUP(D1239,[1]!Tabela24[Código consultor],[1]!Tabela24[Consultor Venda],0,0,1)</f>
        <v>PAR - STB - PAP - JOY TELECOM - GABRIELA ALVES DE GODOY</v>
      </c>
      <c r="F1239" s="5" t="str">
        <f>_xlfn.XLOOKUP(D1239,[1]!Tabela24[Código consultor],[1]!Tabela24[Canal Consultor],0,0,1)</f>
        <v>PAR_DIG</v>
      </c>
      <c r="G1239" s="10" t="str">
        <f>_xlfn.XLOOKUP(B1239,[1]!Tabela1[[Cidades ]],[1]!Tabela1[Regional],0,0,1)</f>
        <v>Jean</v>
      </c>
      <c r="H1239" s="13" t="str">
        <f>_xlfn.XLOOKUP(B1239,[1]!Tabela1[[Cidades ]],[1]!Tabela1[Gerente],0,0,1)</f>
        <v>Demais coordenadores</v>
      </c>
    </row>
    <row r="1240" spans="1:8" x14ac:dyDescent="0.3">
      <c r="A1240" s="4" t="s">
        <v>231</v>
      </c>
      <c r="B1240" s="5" t="s">
        <v>70</v>
      </c>
      <c r="C1240" s="6">
        <v>45839</v>
      </c>
      <c r="D1240" s="7">
        <v>647291</v>
      </c>
      <c r="E1240" s="5" t="str">
        <f>_xlfn.XLOOKUP(D1240,[1]!Tabela24[Código consultor],[1]!Tabela24[Consultor Venda],0,0,1)</f>
        <v>COM - CCO - CLAUDIO FARESE</v>
      </c>
      <c r="F1240" s="5" t="str">
        <f>_xlfn.XLOOKUP(D1240,[1]!Tabela24[Código consultor],[1]!Tabela24[Canal Consultor],0,0,1)</f>
        <v>CORPORATIVO</v>
      </c>
      <c r="G1240" s="5" t="str">
        <f>_xlfn.XLOOKUP(B1240,[1]!Tabela1[[Cidades ]],[1]!Tabela1[Regional],0,0,1)</f>
        <v>Alisson</v>
      </c>
      <c r="H1240" s="8" t="str">
        <f>_xlfn.XLOOKUP(B1240,[1]!Tabela1[[Cidades ]],[1]!Tabela1[Gerente],0,0,1)</f>
        <v>Ariana</v>
      </c>
    </row>
    <row r="1241" spans="1:8" x14ac:dyDescent="0.3">
      <c r="A1241" s="9" t="s">
        <v>160</v>
      </c>
      <c r="B1241" s="10" t="s">
        <v>50</v>
      </c>
      <c r="C1241" s="11">
        <v>45839</v>
      </c>
      <c r="D1241" s="12">
        <v>647291</v>
      </c>
      <c r="E1241" s="5" t="str">
        <f>_xlfn.XLOOKUP(D1241,[1]!Tabela24[Código consultor],[1]!Tabela24[Consultor Venda],0,0,1)</f>
        <v>COM - CCO - CLAUDIO FARESE</v>
      </c>
      <c r="F1241" s="5" t="str">
        <f>_xlfn.XLOOKUP(D1241,[1]!Tabela24[Código consultor],[1]!Tabela24[Canal Consultor],0,0,1)</f>
        <v>CORPORATIVO</v>
      </c>
      <c r="G1241" s="10" t="str">
        <f>_xlfn.XLOOKUP(B1241,[1]!Tabela1[[Cidades ]],[1]!Tabela1[Regional],0,0,1)</f>
        <v>Marcio</v>
      </c>
      <c r="H1241" s="13" t="str">
        <f>_xlfn.XLOOKUP(B1241,[1]!Tabela1[[Cidades ]],[1]!Tabela1[Gerente],0,0,1)</f>
        <v>Demais coordenadores</v>
      </c>
    </row>
    <row r="1242" spans="1:8" x14ac:dyDescent="0.3">
      <c r="A1242" s="4" t="s">
        <v>120</v>
      </c>
      <c r="B1242" s="5" t="s">
        <v>104</v>
      </c>
      <c r="C1242" s="6">
        <v>45839</v>
      </c>
      <c r="D1242" s="7">
        <v>617463</v>
      </c>
      <c r="E1242" s="5" t="str">
        <f>_xlfn.XLOOKUP(D1242,[1]!Tabela24[Código consultor],[1]!Tabela24[Consultor Venda],0,0,1)</f>
        <v>DIG - CCO - ALEX AUGUSTO DA CRUZ RODRIGUES</v>
      </c>
      <c r="F1242" s="5" t="str">
        <f>_xlfn.XLOOKUP(D1242,[1]!Tabela24[Código consultor],[1]!Tabela24[Canal Consultor],0,0,1)</f>
        <v>DIGITAL</v>
      </c>
      <c r="G1242" s="5" t="str">
        <f>_xlfn.XLOOKUP(B1242,[1]!Tabela1[[Cidades ]],[1]!Tabela1[Regional],0,0,1)</f>
        <v>Alisson</v>
      </c>
      <c r="H1242" s="8" t="str">
        <f>_xlfn.XLOOKUP(B1242,[1]!Tabela1[[Cidades ]],[1]!Tabela1[Gerente],0,0,1)</f>
        <v>Karine</v>
      </c>
    </row>
    <row r="1243" spans="1:8" x14ac:dyDescent="0.3">
      <c r="A1243" s="9" t="s">
        <v>176</v>
      </c>
      <c r="B1243" s="10" t="s">
        <v>60</v>
      </c>
      <c r="C1243" s="11">
        <v>45839</v>
      </c>
      <c r="D1243" s="12">
        <v>780838</v>
      </c>
      <c r="E1243" s="5" t="str">
        <f>_xlfn.XLOOKUP(D1243,[1]!Tabela24[Código consultor],[1]!Tabela24[Consultor Venda],0,0,1)</f>
        <v>PAR - PAP - CSL - ALLNET - JEAN CARLO LOPES</v>
      </c>
      <c r="F1243" s="5" t="str">
        <f>_xlfn.XLOOKUP(D1243,[1]!Tabela24[Código consultor],[1]!Tabela24[Canal Consultor],0,0,1)</f>
        <v>PAR</v>
      </c>
      <c r="G1243" s="10" t="str">
        <f>_xlfn.XLOOKUP(B1243,[1]!Tabela1[[Cidades ]],[1]!Tabela1[Regional],0,0,1)</f>
        <v>Magno</v>
      </c>
      <c r="H1243" s="13" t="str">
        <f>_xlfn.XLOOKUP(B1243,[1]!Tabela1[[Cidades ]],[1]!Tabela1[Gerente],0,0,1)</f>
        <v>Demais coordenadores</v>
      </c>
    </row>
    <row r="1244" spans="1:8" x14ac:dyDescent="0.3">
      <c r="A1244" s="4" t="s">
        <v>1396</v>
      </c>
      <c r="B1244" s="5" t="s">
        <v>31</v>
      </c>
      <c r="C1244" s="6">
        <v>45839</v>
      </c>
      <c r="D1244" s="7">
        <v>197832</v>
      </c>
      <c r="E1244" s="5" t="str">
        <f>_xlfn.XLOOKUP(D1244,[1]!Tabela24[Código consultor],[1]!Tabela24[Consultor Venda],0,0,1)</f>
        <v>DIG - CCO - RAIANE BERGAMIN</v>
      </c>
      <c r="F1244" s="5" t="str">
        <f>_xlfn.XLOOKUP(D1244,[1]!Tabela24[Código consultor],[1]!Tabela24[Canal Consultor],0,0,1)</f>
        <v>DIGITAL</v>
      </c>
      <c r="G1244" s="5" t="str">
        <f>_xlfn.XLOOKUP(B1244,[1]!Tabela1[[Cidades ]],[1]!Tabela1[Regional],0,0,1)</f>
        <v>Maycon</v>
      </c>
      <c r="H1244" s="8" t="str">
        <f>_xlfn.XLOOKUP(B1244,[1]!Tabela1[[Cidades ]],[1]!Tabela1[Gerente],0,0,1)</f>
        <v>Demais coordenadores</v>
      </c>
    </row>
    <row r="1245" spans="1:8" x14ac:dyDescent="0.3">
      <c r="A1245" s="9" t="s">
        <v>205</v>
      </c>
      <c r="B1245" s="10" t="s">
        <v>23</v>
      </c>
      <c r="C1245" s="11">
        <v>45839</v>
      </c>
      <c r="D1245" s="12">
        <v>767508</v>
      </c>
      <c r="E1245" s="5" t="str">
        <f>_xlfn.XLOOKUP(D1245,[1]!Tabela24[Código consultor],[1]!Tabela24[Consultor Venda],0,0,1)</f>
        <v>COM - CAN - JULIANA DA SILVA ASSUNCAO</v>
      </c>
      <c r="F1245" s="5" t="str">
        <f>_xlfn.XLOOKUP(D1245,[1]!Tabela24[Código consultor],[1]!Tabela24[Canal Consultor],0,0,1)</f>
        <v>Pap</v>
      </c>
      <c r="G1245" s="10" t="str">
        <f>_xlfn.XLOOKUP(B1245,[1]!Tabela1[[Cidades ]],[1]!Tabela1[Regional],0,0,1)</f>
        <v>Magno</v>
      </c>
      <c r="H1245" s="13" t="str">
        <f>_xlfn.XLOOKUP(B1245,[1]!Tabela1[[Cidades ]],[1]!Tabela1[Gerente],0,0,1)</f>
        <v>Demais coordenadores</v>
      </c>
    </row>
    <row r="1246" spans="1:8" x14ac:dyDescent="0.3">
      <c r="A1246" s="4" t="s">
        <v>225</v>
      </c>
      <c r="B1246" s="5" t="s">
        <v>12</v>
      </c>
      <c r="C1246" s="6">
        <v>45839</v>
      </c>
      <c r="D1246" s="7">
        <v>617463</v>
      </c>
      <c r="E1246" s="5" t="str">
        <f>_xlfn.XLOOKUP(D1246,[1]!Tabela24[Código consultor],[1]!Tabela24[Consultor Venda],0,0,1)</f>
        <v>DIG - CCO - ALEX AUGUSTO DA CRUZ RODRIGUES</v>
      </c>
      <c r="F1246" s="5" t="str">
        <f>_xlfn.XLOOKUP(D1246,[1]!Tabela24[Código consultor],[1]!Tabela24[Canal Consultor],0,0,1)</f>
        <v>DIGITAL</v>
      </c>
      <c r="G1246" s="5" t="str">
        <f>_xlfn.XLOOKUP(B1246,[1]!Tabela1[[Cidades ]],[1]!Tabela1[Regional],0,0,1)</f>
        <v>Jean</v>
      </c>
      <c r="H1246" s="8" t="str">
        <f>_xlfn.XLOOKUP(B1246,[1]!Tabela1[[Cidades ]],[1]!Tabela1[Gerente],0,0,1)</f>
        <v>Demais coordenadores</v>
      </c>
    </row>
    <row r="1247" spans="1:8" x14ac:dyDescent="0.3">
      <c r="A1247" s="9" t="s">
        <v>1397</v>
      </c>
      <c r="B1247" s="10" t="s">
        <v>19</v>
      </c>
      <c r="C1247" s="11">
        <v>45839</v>
      </c>
      <c r="D1247" s="12">
        <v>525458</v>
      </c>
      <c r="E1247" s="5" t="str">
        <f>_xlfn.XLOOKUP(D1247,[1]!Tabela24[Código consultor],[1]!Tabela24[Consultor Venda],0,0,1)</f>
        <v>PAR - ADM - GRP - FIGUEREDO MOBILE  - JOSELIO O. P. JUNIOR</v>
      </c>
      <c r="F1247" s="5" t="str">
        <f>_xlfn.XLOOKUP(D1247,[1]!Tabela24[Código consultor],[1]!Tabela24[Canal Consultor],0,0,1)</f>
        <v>PAR</v>
      </c>
      <c r="G1247" s="10" t="str">
        <f>_xlfn.XLOOKUP(B1247,[1]!Tabela1[[Cidades ]],[1]!Tabela1[Regional],0,0,1)</f>
        <v>Magno</v>
      </c>
      <c r="H1247" s="13" t="str">
        <f>_xlfn.XLOOKUP(B1247,[1]!Tabela1[[Cidades ]],[1]!Tabela1[Gerente],0,0,1)</f>
        <v>Demais coordenadores</v>
      </c>
    </row>
    <row r="1248" spans="1:8" x14ac:dyDescent="0.3">
      <c r="A1248" s="4" t="s">
        <v>238</v>
      </c>
      <c r="B1248" s="5" t="s">
        <v>23</v>
      </c>
      <c r="C1248" s="6">
        <v>45839</v>
      </c>
      <c r="D1248" s="7">
        <v>872155</v>
      </c>
      <c r="E1248" s="5" t="str">
        <f>_xlfn.XLOOKUP(D1248,[1]!Tabela24[Código consultor],[1]!Tabela24[Consultor Venda],0,0,1)</f>
        <v>COM - CAN - JULIANDRA DORNELES</v>
      </c>
      <c r="F1248" s="5" t="str">
        <f>_xlfn.XLOOKUP(D1248,[1]!Tabela24[Código consultor],[1]!Tabela24[Canal Consultor],0,0,1)</f>
        <v>Pap</v>
      </c>
      <c r="G1248" s="5" t="str">
        <f>_xlfn.XLOOKUP(B1248,[1]!Tabela1[[Cidades ]],[1]!Tabela1[Regional],0,0,1)</f>
        <v>Magno</v>
      </c>
      <c r="H1248" s="8" t="str">
        <f>_xlfn.XLOOKUP(B1248,[1]!Tabela1[[Cidades ]],[1]!Tabela1[Gerente],0,0,1)</f>
        <v>Demais coordenadores</v>
      </c>
    </row>
    <row r="1249" spans="1:8" x14ac:dyDescent="0.3">
      <c r="A1249" s="9" t="s">
        <v>1398</v>
      </c>
      <c r="B1249" s="10" t="s">
        <v>11</v>
      </c>
      <c r="C1249" s="11">
        <v>45839</v>
      </c>
      <c r="D1249" s="12">
        <v>738880</v>
      </c>
      <c r="E1249" s="5" t="str">
        <f>_xlfn.XLOOKUP(D1249,[1]!Tabela24[Código consultor],[1]!Tabela24[Consultor Venda],0,0,1)</f>
        <v>PAR - PAP - MUNDIALE - ANA LUIZA COUTO MATIAS</v>
      </c>
      <c r="F1249" s="5" t="str">
        <f>_xlfn.XLOOKUP(D1249,[1]!Tabela24[Código consultor],[1]!Tabela24[Canal Consultor],0,0,1)</f>
        <v>PAR_DIG</v>
      </c>
      <c r="G1249" s="10" t="str">
        <f>_xlfn.XLOOKUP(B1249,[1]!Tabela1[[Cidades ]],[1]!Tabela1[Regional],0,0,1)</f>
        <v>Magno</v>
      </c>
      <c r="H1249" s="13" t="str">
        <f>_xlfn.XLOOKUP(B1249,[1]!Tabela1[[Cidades ]],[1]!Tabela1[Gerente],0,0,1)</f>
        <v>Demais coordenadores</v>
      </c>
    </row>
    <row r="1250" spans="1:8" x14ac:dyDescent="0.3">
      <c r="A1250" s="4" t="s">
        <v>258</v>
      </c>
      <c r="B1250" s="5" t="s">
        <v>19</v>
      </c>
      <c r="C1250" s="6">
        <v>45839</v>
      </c>
      <c r="D1250" s="7">
        <v>725067</v>
      </c>
      <c r="E1250" s="5" t="str">
        <f>_xlfn.XLOOKUP(D1250,[1]!Tabela24[Código consultor],[1]!Tabela24[Consultor Venda],0,0,1)</f>
        <v>COM - CHN - MICHELY SANTOS DOS SANTOS</v>
      </c>
      <c r="F1250" s="5" t="str">
        <f>_xlfn.XLOOKUP(D1250,[1]!Tabela24[Código consultor],[1]!Tabela24[Canal Consultor],0,0,1)</f>
        <v>Pap</v>
      </c>
      <c r="G1250" s="5" t="str">
        <f>_xlfn.XLOOKUP(B1250,[1]!Tabela1[[Cidades ]],[1]!Tabela1[Regional],0,0,1)</f>
        <v>Magno</v>
      </c>
      <c r="H1250" s="8" t="str">
        <f>_xlfn.XLOOKUP(B1250,[1]!Tabela1[[Cidades ]],[1]!Tabela1[Gerente],0,0,1)</f>
        <v>Demais coordenadores</v>
      </c>
    </row>
    <row r="1251" spans="1:8" x14ac:dyDescent="0.3">
      <c r="A1251" s="9" t="s">
        <v>1401</v>
      </c>
      <c r="B1251" s="10" t="s">
        <v>118</v>
      </c>
      <c r="C1251" s="11">
        <v>45839</v>
      </c>
      <c r="D1251" s="12">
        <v>197832</v>
      </c>
      <c r="E1251" s="5" t="str">
        <f>_xlfn.XLOOKUP(D1251,[1]!Tabela24[Código consultor],[1]!Tabela24[Consultor Venda],0,0,1)</f>
        <v>DIG - CCO - RAIANE BERGAMIN</v>
      </c>
      <c r="F1251" s="5" t="str">
        <f>_xlfn.XLOOKUP(D1251,[1]!Tabela24[Código consultor],[1]!Tabela24[Canal Consultor],0,0,1)</f>
        <v>DIGITAL</v>
      </c>
      <c r="G1251" s="10" t="str">
        <f>_xlfn.XLOOKUP(B1251,[1]!Tabela1[[Cidades ]],[1]!Tabela1[Regional],0,0,1)</f>
        <v>Alisson</v>
      </c>
      <c r="H1251" s="13" t="str">
        <f>_xlfn.XLOOKUP(B1251,[1]!Tabela1[[Cidades ]],[1]!Tabela1[Gerente],0,0,1)</f>
        <v>Karine</v>
      </c>
    </row>
    <row r="1252" spans="1:8" x14ac:dyDescent="0.3">
      <c r="A1252" s="4" t="s">
        <v>1403</v>
      </c>
      <c r="B1252" s="5" t="s">
        <v>47</v>
      </c>
      <c r="C1252" s="6">
        <v>45839</v>
      </c>
      <c r="D1252" s="7">
        <v>716615</v>
      </c>
      <c r="E1252" s="5" t="str">
        <f>_xlfn.XLOOKUP(D1252,[1]!Tabela24[Código consultor],[1]!Tabela24[Consultor Venda],0,0,1)</f>
        <v>COM - SCR - MARCO ANTONIO NUNES DOS SANTOS</v>
      </c>
      <c r="F1252" s="5" t="str">
        <f>_xlfn.XLOOKUP(D1252,[1]!Tabela24[Código consultor],[1]!Tabela24[Canal Consultor],0,0,1)</f>
        <v>Pap</v>
      </c>
      <c r="G1252" s="5" t="str">
        <f>_xlfn.XLOOKUP(B1252,[1]!Tabela1[[Cidades ]],[1]!Tabela1[Regional],0,0,1)</f>
        <v>Magno</v>
      </c>
      <c r="H1252" s="8" t="str">
        <f>_xlfn.XLOOKUP(B1252,[1]!Tabela1[[Cidades ]],[1]!Tabela1[Gerente],0,0,1)</f>
        <v>Demais coordenadores</v>
      </c>
    </row>
    <row r="1253" spans="1:8" x14ac:dyDescent="0.3">
      <c r="A1253" s="9" t="s">
        <v>279</v>
      </c>
      <c r="B1253" s="10" t="s">
        <v>22</v>
      </c>
      <c r="C1253" s="11">
        <v>45839</v>
      </c>
      <c r="D1253" s="12">
        <v>716615</v>
      </c>
      <c r="E1253" s="5" t="str">
        <f>_xlfn.XLOOKUP(D1253,[1]!Tabela24[Código consultor],[1]!Tabela24[Consultor Venda],0,0,1)</f>
        <v>COM - SCR - MARCO ANTONIO NUNES DOS SANTOS</v>
      </c>
      <c r="F1253" s="5" t="str">
        <f>_xlfn.XLOOKUP(D1253,[1]!Tabela24[Código consultor],[1]!Tabela24[Canal Consultor],0,0,1)</f>
        <v>Pap</v>
      </c>
      <c r="G1253" s="10" t="str">
        <f>_xlfn.XLOOKUP(B1253,[1]!Tabela1[[Cidades ]],[1]!Tabela1[Regional],0,0,1)</f>
        <v>Magno</v>
      </c>
      <c r="H1253" s="13" t="str">
        <f>_xlfn.XLOOKUP(B1253,[1]!Tabela1[[Cidades ]],[1]!Tabela1[Gerente],0,0,1)</f>
        <v>Demais coordenadores</v>
      </c>
    </row>
    <row r="1254" spans="1:8" x14ac:dyDescent="0.3">
      <c r="A1254" s="4" t="s">
        <v>1404</v>
      </c>
      <c r="B1254" s="5" t="s">
        <v>23</v>
      </c>
      <c r="C1254" s="6">
        <v>45839</v>
      </c>
      <c r="D1254" s="7">
        <v>827985</v>
      </c>
      <c r="E1254" s="5" t="str">
        <f>_xlfn.XLOOKUP(D1254,[1]!Tabela24[Código consultor],[1]!Tabela24[Consultor Venda],0,0,1)</f>
        <v>COM - GTI - KELLEN SANTOS IOHANN</v>
      </c>
      <c r="F1254" s="5" t="str">
        <f>_xlfn.XLOOKUP(D1254,[1]!Tabela24[Código consultor],[1]!Tabela24[Canal Consultor],0,0,1)</f>
        <v>Pap</v>
      </c>
      <c r="G1254" s="5" t="str">
        <f>_xlfn.XLOOKUP(B1254,[1]!Tabela1[[Cidades ]],[1]!Tabela1[Regional],0,0,1)</f>
        <v>Magno</v>
      </c>
      <c r="H1254" s="8" t="str">
        <f>_xlfn.XLOOKUP(B1254,[1]!Tabela1[[Cidades ]],[1]!Tabela1[Gerente],0,0,1)</f>
        <v>Demais coordenadores</v>
      </c>
    </row>
    <row r="1255" spans="1:8" x14ac:dyDescent="0.3">
      <c r="A1255" s="9" t="s">
        <v>1405</v>
      </c>
      <c r="B1255" s="10" t="s">
        <v>39</v>
      </c>
      <c r="C1255" s="11">
        <v>45839</v>
      </c>
      <c r="D1255" s="12">
        <v>547570</v>
      </c>
      <c r="E1255" s="5" t="str">
        <f>_xlfn.XLOOKUP(D1255,[1]!Tabela24[Código consultor],[1]!Tabela24[Consultor Venda],0,0,1)</f>
        <v>COM - LGS - ISABEL CRISTINA RODRIGUES DE JESUS</v>
      </c>
      <c r="F1255" s="5" t="str">
        <f>_xlfn.XLOOKUP(D1255,[1]!Tabela24[Código consultor],[1]!Tabela24[Canal Consultor],0,0,1)</f>
        <v>INTERNO</v>
      </c>
      <c r="G1255" s="10" t="str">
        <f>_xlfn.XLOOKUP(B1255,[1]!Tabela1[[Cidades ]],[1]!Tabela1[Regional],0,0,1)</f>
        <v>Marcio</v>
      </c>
      <c r="H1255" s="13" t="str">
        <f>_xlfn.XLOOKUP(B1255,[1]!Tabela1[[Cidades ]],[1]!Tabela1[Gerente],0,0,1)</f>
        <v>Demais coordenadores</v>
      </c>
    </row>
    <row r="1256" spans="1:8" x14ac:dyDescent="0.3">
      <c r="A1256" s="4" t="s">
        <v>1406</v>
      </c>
      <c r="B1256" s="5" t="s">
        <v>11</v>
      </c>
      <c r="C1256" s="6">
        <v>45839</v>
      </c>
      <c r="D1256" s="7">
        <v>262147</v>
      </c>
      <c r="E1256" s="5" t="str">
        <f>_xlfn.XLOOKUP(D1256,[1]!Tabela24[Código consultor],[1]!Tabela24[Consultor Venda],0,0,1)</f>
        <v>COM - GTI - ALESANDRA PETRY BRAZEIRO</v>
      </c>
      <c r="F1256" s="5" t="str">
        <f>_xlfn.XLOOKUP(D1256,[1]!Tabela24[Código consultor],[1]!Tabela24[Canal Consultor],0,0,1)</f>
        <v>Pap</v>
      </c>
      <c r="G1256" s="5" t="str">
        <f>_xlfn.XLOOKUP(B1256,[1]!Tabela1[[Cidades ]],[1]!Tabela1[Regional],0,0,1)</f>
        <v>Magno</v>
      </c>
      <c r="H1256" s="8" t="str">
        <f>_xlfn.XLOOKUP(B1256,[1]!Tabela1[[Cidades ]],[1]!Tabela1[Gerente],0,0,1)</f>
        <v>Demais coordenadores</v>
      </c>
    </row>
    <row r="1257" spans="1:8" x14ac:dyDescent="0.3">
      <c r="A1257" s="9" t="s">
        <v>1407</v>
      </c>
      <c r="B1257" s="10" t="s">
        <v>76</v>
      </c>
      <c r="C1257" s="11">
        <v>45839</v>
      </c>
      <c r="D1257" s="12">
        <v>870268</v>
      </c>
      <c r="E1257" s="5" t="str">
        <f>_xlfn.XLOOKUP(D1257,[1]!Tabela24[Código consultor],[1]!Tabela24[Consultor Venda],0,0,1)</f>
        <v>COM - CIO - VITORIA LUIZA ALVES PEREIRA DA CRUZ</v>
      </c>
      <c r="F1257" s="5" t="str">
        <f>_xlfn.XLOOKUP(D1257,[1]!Tabela24[Código consultor],[1]!Tabela24[Canal Consultor],0,0,1)</f>
        <v>INTERNO</v>
      </c>
      <c r="G1257" s="10" t="str">
        <f>_xlfn.XLOOKUP(B1257,[1]!Tabela1[[Cidades ]],[1]!Tabela1[Regional],0,0,1)</f>
        <v>Alisson</v>
      </c>
      <c r="H1257" s="13" t="str">
        <f>_xlfn.XLOOKUP(B1257,[1]!Tabela1[[Cidades ]],[1]!Tabela1[Gerente],0,0,1)</f>
        <v>Helena</v>
      </c>
    </row>
    <row r="1258" spans="1:8" x14ac:dyDescent="0.3">
      <c r="A1258" s="4" t="s">
        <v>1409</v>
      </c>
      <c r="B1258" s="5" t="s">
        <v>24</v>
      </c>
      <c r="C1258" s="6">
        <v>45839</v>
      </c>
      <c r="D1258" s="7">
        <v>870651</v>
      </c>
      <c r="E1258" s="5" t="str">
        <f>_xlfn.XLOOKUP(D1258,[1]!Tabela24[Código consultor],[1]!Tabela24[Consultor Venda],0,0,1)</f>
        <v>COM - SMA - LORRANY NUNES BACK RODRIGUES</v>
      </c>
      <c r="F1258" s="5" t="str">
        <f>_xlfn.XLOOKUP(D1258,[1]!Tabela24[Código consultor],[1]!Tabela24[Canal Consultor],0,0,1)</f>
        <v>INTERNO</v>
      </c>
      <c r="G1258" s="5" t="str">
        <f>_xlfn.XLOOKUP(B1258,[1]!Tabela1[[Cidades ]],[1]!Tabela1[Regional],0,0,1)</f>
        <v>Magno</v>
      </c>
      <c r="H1258" s="8" t="str">
        <f>_xlfn.XLOOKUP(B1258,[1]!Tabela1[[Cidades ]],[1]!Tabela1[Gerente],0,0,1)</f>
        <v>Demais coordenadores</v>
      </c>
    </row>
    <row r="1259" spans="1:8" x14ac:dyDescent="0.3">
      <c r="A1259" s="9" t="s">
        <v>1410</v>
      </c>
      <c r="B1259" s="10" t="s">
        <v>125</v>
      </c>
      <c r="C1259" s="11">
        <v>45839</v>
      </c>
      <c r="D1259" s="12">
        <v>738880</v>
      </c>
      <c r="E1259" s="5" t="str">
        <f>_xlfn.XLOOKUP(D1259,[1]!Tabela24[Código consultor],[1]!Tabela24[Consultor Venda],0,0,1)</f>
        <v>PAR - PAP - MUNDIALE - ANA LUIZA COUTO MATIAS</v>
      </c>
      <c r="F1259" s="5" t="str">
        <f>_xlfn.XLOOKUP(D1259,[1]!Tabela24[Código consultor],[1]!Tabela24[Canal Consultor],0,0,1)</f>
        <v>PAR_DIG</v>
      </c>
      <c r="G1259" s="10" t="str">
        <f>_xlfn.XLOOKUP(B1259,[1]!Tabela1[[Cidades ]],[1]!Tabela1[Regional],0,0,1)</f>
        <v>Maycon</v>
      </c>
      <c r="H1259" s="13" t="str">
        <f>_xlfn.XLOOKUP(B1259,[1]!Tabela1[[Cidades ]],[1]!Tabela1[Gerente],0,0,1)</f>
        <v>Demais coordenadores</v>
      </c>
    </row>
    <row r="1260" spans="1:8" x14ac:dyDescent="0.3">
      <c r="A1260" s="4" t="s">
        <v>1411</v>
      </c>
      <c r="B1260" s="5" t="s">
        <v>28</v>
      </c>
      <c r="C1260" s="6">
        <v>45839</v>
      </c>
      <c r="D1260" s="7">
        <v>574996</v>
      </c>
      <c r="E1260" s="5" t="str">
        <f>_xlfn.XLOOKUP(D1260,[1]!Tabela24[Código consultor],[1]!Tabela24[Consultor Venda],0,0,1)</f>
        <v>COM - LJO - ANA PAULA RODRIGUES</v>
      </c>
      <c r="F1260" s="5" t="str">
        <f>_xlfn.XLOOKUP(D1260,[1]!Tabela24[Código consultor],[1]!Tabela24[Canal Consultor],0,0,1)</f>
        <v>INTERNO</v>
      </c>
      <c r="G1260" s="5" t="str">
        <f>_xlfn.XLOOKUP(B1260,[1]!Tabela1[[Cidades ]],[1]!Tabela1[Regional],0,0,1)</f>
        <v>Magno</v>
      </c>
      <c r="H1260" s="8" t="str">
        <f>_xlfn.XLOOKUP(B1260,[1]!Tabela1[[Cidades ]],[1]!Tabela1[Gerente],0,0,1)</f>
        <v>Demais coordenadores</v>
      </c>
    </row>
    <row r="1261" spans="1:8" x14ac:dyDescent="0.3">
      <c r="A1261" s="9" t="s">
        <v>1412</v>
      </c>
      <c r="B1261" s="10" t="s">
        <v>43</v>
      </c>
      <c r="C1261" s="11">
        <v>45839</v>
      </c>
      <c r="D1261" s="12">
        <v>233138</v>
      </c>
      <c r="E1261" s="5" t="str">
        <f>_xlfn.XLOOKUP(D1261,[1]!Tabela24[Código consultor],[1]!Tabela24[Consultor Venda],0,0,1)</f>
        <v>PAR - INTE - GRP - MOBILE HD - ALINE KARNOSKI</v>
      </c>
      <c r="F1261" s="5" t="str">
        <f>_xlfn.XLOOKUP(D1261,[1]!Tabela24[Código consultor],[1]!Tabela24[Canal Consultor],0,0,1)</f>
        <v>PAR</v>
      </c>
      <c r="G1261" s="10" t="str">
        <f>_xlfn.XLOOKUP(B1261,[1]!Tabela1[[Cidades ]],[1]!Tabela1[Regional],0,0,1)</f>
        <v>Jean</v>
      </c>
      <c r="H1261" s="13" t="str">
        <f>_xlfn.XLOOKUP(B1261,[1]!Tabela1[[Cidades ]],[1]!Tabela1[Gerente],0,0,1)</f>
        <v>Demais coordenadores</v>
      </c>
    </row>
    <row r="1262" spans="1:8" x14ac:dyDescent="0.3">
      <c r="A1262" s="4" t="s">
        <v>1413</v>
      </c>
      <c r="B1262" s="5" t="s">
        <v>85</v>
      </c>
      <c r="C1262" s="6">
        <v>45839</v>
      </c>
      <c r="D1262" s="7">
        <v>801750</v>
      </c>
      <c r="E1262" s="5" t="str">
        <f>_xlfn.XLOOKUP(D1262,[1]!Tabela24[Código consultor],[1]!Tabela24[Consultor Venda],0,0,1)</f>
        <v>COM - MVH - CAROLINE THAIS GONSALVES</v>
      </c>
      <c r="F1262" s="5" t="str">
        <f>_xlfn.XLOOKUP(D1262,[1]!Tabela24[Código consultor],[1]!Tabela24[Canal Consultor],0,0,1)</f>
        <v>INTERNO</v>
      </c>
      <c r="G1262" s="5" t="str">
        <f>_xlfn.XLOOKUP(B1262,[1]!Tabela1[[Cidades ]],[1]!Tabela1[Regional],0,0,1)</f>
        <v>Maycon</v>
      </c>
      <c r="H1262" s="8" t="str">
        <f>_xlfn.XLOOKUP(B1262,[1]!Tabela1[[Cidades ]],[1]!Tabela1[Gerente],0,0,1)</f>
        <v>Demais coordenadores</v>
      </c>
    </row>
    <row r="1263" spans="1:8" x14ac:dyDescent="0.3">
      <c r="A1263" s="9" t="s">
        <v>1414</v>
      </c>
      <c r="B1263" s="10" t="s">
        <v>11</v>
      </c>
      <c r="C1263" s="11">
        <v>45839</v>
      </c>
      <c r="D1263" s="12">
        <v>738880</v>
      </c>
      <c r="E1263" s="5" t="str">
        <f>_xlfn.XLOOKUP(D1263,[1]!Tabela24[Código consultor],[1]!Tabela24[Consultor Venda],0,0,1)</f>
        <v>PAR - PAP - MUNDIALE - ANA LUIZA COUTO MATIAS</v>
      </c>
      <c r="F1263" s="5" t="str">
        <f>_xlfn.XLOOKUP(D1263,[1]!Tabela24[Código consultor],[1]!Tabela24[Canal Consultor],0,0,1)</f>
        <v>PAR_DIG</v>
      </c>
      <c r="G1263" s="10" t="str">
        <f>_xlfn.XLOOKUP(B1263,[1]!Tabela1[[Cidades ]],[1]!Tabela1[Regional],0,0,1)</f>
        <v>Magno</v>
      </c>
      <c r="H1263" s="13" t="str">
        <f>_xlfn.XLOOKUP(B1263,[1]!Tabela1[[Cidades ]],[1]!Tabela1[Gerente],0,0,1)</f>
        <v>Demais coordenadores</v>
      </c>
    </row>
    <row r="1264" spans="1:8" x14ac:dyDescent="0.3">
      <c r="A1264" s="4" t="s">
        <v>1416</v>
      </c>
      <c r="B1264" s="5" t="s">
        <v>42</v>
      </c>
      <c r="C1264" s="6">
        <v>45839</v>
      </c>
      <c r="D1264" s="7">
        <v>878851</v>
      </c>
      <c r="E1264" s="5" t="str">
        <f>_xlfn.XLOOKUP(D1264,[1]!Tabela24[Código consultor],[1]!Tabela24[Consultor Venda],0,0,1)</f>
        <v>COM - CDA - ANDERSON DE OLIVEIRA</v>
      </c>
      <c r="F1264" s="5" t="str">
        <f>_xlfn.XLOOKUP(D1264,[1]!Tabela24[Código consultor],[1]!Tabela24[Canal Consultor],0,0,1)</f>
        <v>Pap</v>
      </c>
      <c r="G1264" s="5" t="str">
        <f>_xlfn.XLOOKUP(B1264,[1]!Tabela1[[Cidades ]],[1]!Tabela1[Regional],0,0,1)</f>
        <v>Maycon</v>
      </c>
      <c r="H1264" s="8" t="str">
        <f>_xlfn.XLOOKUP(B1264,[1]!Tabela1[[Cidades ]],[1]!Tabela1[Gerente],0,0,1)</f>
        <v>Demais coordenadores</v>
      </c>
    </row>
    <row r="1265" spans="1:8" x14ac:dyDescent="0.3">
      <c r="A1265" s="9" t="s">
        <v>1419</v>
      </c>
      <c r="B1265" s="10" t="s">
        <v>31</v>
      </c>
      <c r="C1265" s="11">
        <v>45839</v>
      </c>
      <c r="D1265" s="12">
        <v>788656</v>
      </c>
      <c r="E1265" s="5" t="str">
        <f>_xlfn.XLOOKUP(D1265,[1]!Tabela24[Código consultor],[1]!Tabela24[Consultor Venda],0,0,1)</f>
        <v>PAR - STB - PAP - JOY TELECOM - GABRIELA ALVES DE GODOY</v>
      </c>
      <c r="F1265" s="5" t="str">
        <f>_xlfn.XLOOKUP(D1265,[1]!Tabela24[Código consultor],[1]!Tabela24[Canal Consultor],0,0,1)</f>
        <v>PAR_DIG</v>
      </c>
      <c r="G1265" s="10" t="str">
        <f>_xlfn.XLOOKUP(B1265,[1]!Tabela1[[Cidades ]],[1]!Tabela1[Regional],0,0,1)</f>
        <v>Maycon</v>
      </c>
      <c r="H1265" s="13" t="str">
        <f>_xlfn.XLOOKUP(B1265,[1]!Tabela1[[Cidades ]],[1]!Tabela1[Gerente],0,0,1)</f>
        <v>Demais coordenadores</v>
      </c>
    </row>
    <row r="1266" spans="1:8" x14ac:dyDescent="0.3">
      <c r="A1266" s="4" t="s">
        <v>1421</v>
      </c>
      <c r="B1266" s="5" t="s">
        <v>31</v>
      </c>
      <c r="C1266" s="6">
        <v>45839</v>
      </c>
      <c r="D1266" s="7">
        <v>694166</v>
      </c>
      <c r="E1266" s="5" t="str">
        <f>_xlfn.XLOOKUP(D1266,[1]!Tabela24[Código consultor],[1]!Tabela24[Consultor Venda],0,0,1)</f>
        <v>DIG - CCO - CARINE CORREA SOARES</v>
      </c>
      <c r="F1266" s="5" t="str">
        <f>_xlfn.XLOOKUP(D1266,[1]!Tabela24[Código consultor],[1]!Tabela24[Canal Consultor],0,0,1)</f>
        <v>DIGITAL</v>
      </c>
      <c r="G1266" s="5" t="str">
        <f>_xlfn.XLOOKUP(B1266,[1]!Tabela1[[Cidades ]],[1]!Tabela1[Regional],0,0,1)</f>
        <v>Maycon</v>
      </c>
      <c r="H1266" s="8" t="str">
        <f>_xlfn.XLOOKUP(B1266,[1]!Tabela1[[Cidades ]],[1]!Tabela1[Gerente],0,0,1)</f>
        <v>Demais coordenadores</v>
      </c>
    </row>
    <row r="1267" spans="1:8" x14ac:dyDescent="0.3">
      <c r="A1267" s="9" t="s">
        <v>1422</v>
      </c>
      <c r="B1267" s="10" t="s">
        <v>31</v>
      </c>
      <c r="C1267" s="11">
        <v>45839</v>
      </c>
      <c r="D1267" s="12">
        <v>794227</v>
      </c>
      <c r="E1267" s="5" t="str">
        <f>_xlfn.XLOOKUP(D1267,[1]!Tabela24[Código consultor],[1]!Tabela24[Consultor Venda],0,0,1)</f>
        <v>PAR - PAP - TECH PERFORMANCE - Dario de Oliveira</v>
      </c>
      <c r="F1267" s="5" t="str">
        <f>_xlfn.XLOOKUP(D1267,[1]!Tabela24[Código consultor],[1]!Tabela24[Canal Consultor],0,0,1)</f>
        <v>Par</v>
      </c>
      <c r="G1267" s="10" t="str">
        <f>_xlfn.XLOOKUP(B1267,[1]!Tabela1[[Cidades ]],[1]!Tabela1[Regional],0,0,1)</f>
        <v>Maycon</v>
      </c>
      <c r="H1267" s="13" t="str">
        <f>_xlfn.XLOOKUP(B1267,[1]!Tabela1[[Cidades ]],[1]!Tabela1[Gerente],0,0,1)</f>
        <v>Demais coordenadores</v>
      </c>
    </row>
    <row r="1268" spans="1:8" x14ac:dyDescent="0.3">
      <c r="A1268" s="4" t="s">
        <v>1424</v>
      </c>
      <c r="B1268" s="5" t="s">
        <v>9</v>
      </c>
      <c r="C1268" s="6">
        <v>45839</v>
      </c>
      <c r="D1268" s="7">
        <v>600710</v>
      </c>
      <c r="E1268" s="5" t="str">
        <f>_xlfn.XLOOKUP(D1268,[1]!Tabela24[Código consultor],[1]!Tabela24[Consultor Venda],0,0,1)</f>
        <v>DIG - CCO - BRUNA BALBINOTTI</v>
      </c>
      <c r="F1268" s="5" t="str">
        <f>_xlfn.XLOOKUP(D1268,[1]!Tabela24[Código consultor],[1]!Tabela24[Canal Consultor],0,0,1)</f>
        <v>DIGITAL</v>
      </c>
      <c r="G1268" s="5" t="str">
        <f>_xlfn.XLOOKUP(B1268,[1]!Tabela1[[Cidades ]],[1]!Tabela1[Regional],0,0,1)</f>
        <v>Maycon</v>
      </c>
      <c r="H1268" s="8" t="str">
        <f>_xlfn.XLOOKUP(B1268,[1]!Tabela1[[Cidades ]],[1]!Tabela1[Gerente],0,0,1)</f>
        <v>Demais coordenadores</v>
      </c>
    </row>
    <row r="1269" spans="1:8" x14ac:dyDescent="0.3">
      <c r="A1269" s="9" t="s">
        <v>1425</v>
      </c>
      <c r="B1269" s="10" t="s">
        <v>19</v>
      </c>
      <c r="C1269" s="11">
        <v>45839</v>
      </c>
      <c r="D1269" s="12">
        <v>788656</v>
      </c>
      <c r="E1269" s="5" t="str">
        <f>_xlfn.XLOOKUP(D1269,[1]!Tabela24[Código consultor],[1]!Tabela24[Consultor Venda],0,0,1)</f>
        <v>PAR - STB - PAP - JOY TELECOM - GABRIELA ALVES DE GODOY</v>
      </c>
      <c r="F1269" s="5" t="str">
        <f>_xlfn.XLOOKUP(D1269,[1]!Tabela24[Código consultor],[1]!Tabela24[Canal Consultor],0,0,1)</f>
        <v>PAR_DIG</v>
      </c>
      <c r="G1269" s="10" t="str">
        <f>_xlfn.XLOOKUP(B1269,[1]!Tabela1[[Cidades ]],[1]!Tabela1[Regional],0,0,1)</f>
        <v>Magno</v>
      </c>
      <c r="H1269" s="13" t="str">
        <f>_xlfn.XLOOKUP(B1269,[1]!Tabela1[[Cidades ]],[1]!Tabela1[Gerente],0,0,1)</f>
        <v>Demais coordenadores</v>
      </c>
    </row>
    <row r="1270" spans="1:8" x14ac:dyDescent="0.3">
      <c r="A1270" s="4" t="s">
        <v>1427</v>
      </c>
      <c r="B1270" s="5" t="s">
        <v>24</v>
      </c>
      <c r="C1270" s="6">
        <v>45839</v>
      </c>
      <c r="D1270" s="7">
        <v>788656</v>
      </c>
      <c r="E1270" s="5" t="str">
        <f>_xlfn.XLOOKUP(D1270,[1]!Tabela24[Código consultor],[1]!Tabela24[Consultor Venda],0,0,1)</f>
        <v>PAR - STB - PAP - JOY TELECOM - GABRIELA ALVES DE GODOY</v>
      </c>
      <c r="F1270" s="5" t="str">
        <f>_xlfn.XLOOKUP(D1270,[1]!Tabela24[Código consultor],[1]!Tabela24[Canal Consultor],0,0,1)</f>
        <v>PAR_DIG</v>
      </c>
      <c r="G1270" s="5" t="str">
        <f>_xlfn.XLOOKUP(B1270,[1]!Tabela1[[Cidades ]],[1]!Tabela1[Regional],0,0,1)</f>
        <v>Magno</v>
      </c>
      <c r="H1270" s="8" t="str">
        <f>_xlfn.XLOOKUP(B1270,[1]!Tabela1[[Cidades ]],[1]!Tabela1[Gerente],0,0,1)</f>
        <v>Demais coordenadores</v>
      </c>
    </row>
    <row r="1271" spans="1:8" x14ac:dyDescent="0.3">
      <c r="A1271" s="9" t="s">
        <v>1428</v>
      </c>
      <c r="B1271" s="10" t="s">
        <v>19</v>
      </c>
      <c r="C1271" s="11">
        <v>45839</v>
      </c>
      <c r="D1271" s="12">
        <v>600710</v>
      </c>
      <c r="E1271" s="5" t="str">
        <f>_xlfn.XLOOKUP(D1271,[1]!Tabela24[Código consultor],[1]!Tabela24[Consultor Venda],0,0,1)</f>
        <v>DIG - CCO - BRUNA BALBINOTTI</v>
      </c>
      <c r="F1271" s="5" t="str">
        <f>_xlfn.XLOOKUP(D1271,[1]!Tabela24[Código consultor],[1]!Tabela24[Canal Consultor],0,0,1)</f>
        <v>DIGITAL</v>
      </c>
      <c r="G1271" s="10" t="str">
        <f>_xlfn.XLOOKUP(B1271,[1]!Tabela1[[Cidades ]],[1]!Tabela1[Regional],0,0,1)</f>
        <v>Magno</v>
      </c>
      <c r="H1271" s="13" t="str">
        <f>_xlfn.XLOOKUP(B1271,[1]!Tabela1[[Cidades ]],[1]!Tabela1[Gerente],0,0,1)</f>
        <v>Demais coordenadores</v>
      </c>
    </row>
    <row r="1272" spans="1:8" x14ac:dyDescent="0.3">
      <c r="A1272" s="4" t="s">
        <v>1430</v>
      </c>
      <c r="B1272" s="5" t="s">
        <v>39</v>
      </c>
      <c r="C1272" s="6">
        <v>45839</v>
      </c>
      <c r="D1272" s="7">
        <v>788656</v>
      </c>
      <c r="E1272" s="5" t="str">
        <f>_xlfn.XLOOKUP(D1272,[1]!Tabela24[Código consultor],[1]!Tabela24[Consultor Venda],0,0,1)</f>
        <v>PAR - STB - PAP - JOY TELECOM - GABRIELA ALVES DE GODOY</v>
      </c>
      <c r="F1272" s="5" t="str">
        <f>_xlfn.XLOOKUP(D1272,[1]!Tabela24[Código consultor],[1]!Tabela24[Canal Consultor],0,0,1)</f>
        <v>PAR_DIG</v>
      </c>
      <c r="G1272" s="5" t="str">
        <f>_xlfn.XLOOKUP(B1272,[1]!Tabela1[[Cidades ]],[1]!Tabela1[Regional],0,0,1)</f>
        <v>Marcio</v>
      </c>
      <c r="H1272" s="8" t="str">
        <f>_xlfn.XLOOKUP(B1272,[1]!Tabela1[[Cidades ]],[1]!Tabela1[Gerente],0,0,1)</f>
        <v>Demais coordenadores</v>
      </c>
    </row>
    <row r="1273" spans="1:8" x14ac:dyDescent="0.3">
      <c r="A1273" s="9" t="s">
        <v>1432</v>
      </c>
      <c r="B1273" s="10" t="s">
        <v>13</v>
      </c>
      <c r="C1273" s="11">
        <v>45839</v>
      </c>
      <c r="D1273" s="12">
        <v>879945</v>
      </c>
      <c r="E1273" s="5" t="str">
        <f>_xlfn.XLOOKUP(D1273,[1]!Tabela24[Código consultor],[1]!Tabela24[Consultor Venda],0,0,1)</f>
        <v>COM - PAS - MABILLY LOEBLEIN GOEDEL</v>
      </c>
      <c r="F1273" s="5" t="str">
        <f>_xlfn.XLOOKUP(D1273,[1]!Tabela24[Código consultor],[1]!Tabela24[Canal Consultor],0,0,1)</f>
        <v>INTERNO</v>
      </c>
      <c r="G1273" s="10" t="str">
        <f>_xlfn.XLOOKUP(B1273,[1]!Tabela1[[Cidades ]],[1]!Tabela1[Regional],0,0,1)</f>
        <v>Alisson</v>
      </c>
      <c r="H1273" s="13" t="str">
        <f>_xlfn.XLOOKUP(B1273,[1]!Tabela1[[Cidades ]],[1]!Tabela1[Gerente],0,0,1)</f>
        <v>Ariana</v>
      </c>
    </row>
    <row r="1274" spans="1:8" x14ac:dyDescent="0.3">
      <c r="A1274" s="4" t="s">
        <v>1433</v>
      </c>
      <c r="B1274" s="5" t="s">
        <v>12</v>
      </c>
      <c r="C1274" s="6">
        <v>45839</v>
      </c>
      <c r="D1274" s="7">
        <v>788656</v>
      </c>
      <c r="E1274" s="5" t="str">
        <f>_xlfn.XLOOKUP(D1274,[1]!Tabela24[Código consultor],[1]!Tabela24[Consultor Venda],0,0,1)</f>
        <v>PAR - STB - PAP - JOY TELECOM - GABRIELA ALVES DE GODOY</v>
      </c>
      <c r="F1274" s="5" t="str">
        <f>_xlfn.XLOOKUP(D1274,[1]!Tabela24[Código consultor],[1]!Tabela24[Canal Consultor],0,0,1)</f>
        <v>PAR_DIG</v>
      </c>
      <c r="G1274" s="5" t="str">
        <f>_xlfn.XLOOKUP(B1274,[1]!Tabela1[[Cidades ]],[1]!Tabela1[Regional],0,0,1)</f>
        <v>Jean</v>
      </c>
      <c r="H1274" s="8" t="str">
        <f>_xlfn.XLOOKUP(B1274,[1]!Tabela1[[Cidades ]],[1]!Tabela1[Gerente],0,0,1)</f>
        <v>Demais coordenadores</v>
      </c>
    </row>
    <row r="1275" spans="1:8" x14ac:dyDescent="0.3">
      <c r="A1275" s="9" t="s">
        <v>1434</v>
      </c>
      <c r="B1275" s="10" t="s">
        <v>19</v>
      </c>
      <c r="C1275" s="11">
        <v>45839</v>
      </c>
      <c r="D1275" s="12">
        <v>165769</v>
      </c>
      <c r="E1275" s="5" t="str">
        <f>_xlfn.XLOOKUP(D1275,[1]!Tabela24[Código consultor],[1]!Tabela24[Consultor Venda],0,0,1)</f>
        <v>PAR - PAP - GTI - THALIA SP - THALIA DA SILVA PEREIRA</v>
      </c>
      <c r="F1275" s="5" t="str">
        <f>_xlfn.XLOOKUP(D1275,[1]!Tabela24[Código consultor],[1]!Tabela24[Canal Consultor],0,0,1)</f>
        <v>PAR</v>
      </c>
      <c r="G1275" s="10" t="str">
        <f>_xlfn.XLOOKUP(B1275,[1]!Tabela1[[Cidades ]],[1]!Tabela1[Regional],0,0,1)</f>
        <v>Magno</v>
      </c>
      <c r="H1275" s="13" t="str">
        <f>_xlfn.XLOOKUP(B1275,[1]!Tabela1[[Cidades ]],[1]!Tabela1[Gerente],0,0,1)</f>
        <v>Demais coordenadores</v>
      </c>
    </row>
    <row r="1276" spans="1:8" x14ac:dyDescent="0.3">
      <c r="A1276" s="4" t="s">
        <v>1435</v>
      </c>
      <c r="B1276" s="5" t="s">
        <v>12</v>
      </c>
      <c r="C1276" s="6">
        <v>45839</v>
      </c>
      <c r="D1276" s="7">
        <v>788656</v>
      </c>
      <c r="E1276" s="5" t="str">
        <f>_xlfn.XLOOKUP(D1276,[1]!Tabela24[Código consultor],[1]!Tabela24[Consultor Venda],0,0,1)</f>
        <v>PAR - STB - PAP - JOY TELECOM - GABRIELA ALVES DE GODOY</v>
      </c>
      <c r="F1276" s="5" t="str">
        <f>_xlfn.XLOOKUP(D1276,[1]!Tabela24[Código consultor],[1]!Tabela24[Canal Consultor],0,0,1)</f>
        <v>PAR_DIG</v>
      </c>
      <c r="G1276" s="5" t="str">
        <f>_xlfn.XLOOKUP(B1276,[1]!Tabela1[[Cidades ]],[1]!Tabela1[Regional],0,0,1)</f>
        <v>Jean</v>
      </c>
      <c r="H1276" s="8" t="str">
        <f>_xlfn.XLOOKUP(B1276,[1]!Tabela1[[Cidades ]],[1]!Tabela1[Gerente],0,0,1)</f>
        <v>Demais coordenadores</v>
      </c>
    </row>
    <row r="1277" spans="1:8" x14ac:dyDescent="0.3">
      <c r="A1277" s="9" t="s">
        <v>1436</v>
      </c>
      <c r="B1277" s="10" t="s">
        <v>11</v>
      </c>
      <c r="C1277" s="11">
        <v>45839</v>
      </c>
      <c r="D1277" s="12">
        <v>788656</v>
      </c>
      <c r="E1277" s="5" t="str">
        <f>_xlfn.XLOOKUP(D1277,[1]!Tabela24[Código consultor],[1]!Tabela24[Consultor Venda],0,0,1)</f>
        <v>PAR - STB - PAP - JOY TELECOM - GABRIELA ALVES DE GODOY</v>
      </c>
      <c r="F1277" s="5" t="str">
        <f>_xlfn.XLOOKUP(D1277,[1]!Tabela24[Código consultor],[1]!Tabela24[Canal Consultor],0,0,1)</f>
        <v>PAR_DIG</v>
      </c>
      <c r="G1277" s="10" t="str">
        <f>_xlfn.XLOOKUP(B1277,[1]!Tabela1[[Cidades ]],[1]!Tabela1[Regional],0,0,1)</f>
        <v>Magno</v>
      </c>
      <c r="H1277" s="13" t="str">
        <f>_xlfn.XLOOKUP(B1277,[1]!Tabela1[[Cidades ]],[1]!Tabela1[Gerente],0,0,1)</f>
        <v>Demais coordenadores</v>
      </c>
    </row>
    <row r="1278" spans="1:8" x14ac:dyDescent="0.3">
      <c r="A1278" s="4" t="s">
        <v>1437</v>
      </c>
      <c r="B1278" s="5" t="s">
        <v>60</v>
      </c>
      <c r="C1278" s="6">
        <v>45839</v>
      </c>
      <c r="D1278" s="7">
        <v>788656</v>
      </c>
      <c r="E1278" s="5" t="str">
        <f>_xlfn.XLOOKUP(D1278,[1]!Tabela24[Código consultor],[1]!Tabela24[Consultor Venda],0,0,1)</f>
        <v>PAR - STB - PAP - JOY TELECOM - GABRIELA ALVES DE GODOY</v>
      </c>
      <c r="F1278" s="5" t="str">
        <f>_xlfn.XLOOKUP(D1278,[1]!Tabela24[Código consultor],[1]!Tabela24[Canal Consultor],0,0,1)</f>
        <v>PAR_DIG</v>
      </c>
      <c r="G1278" s="5" t="str">
        <f>_xlfn.XLOOKUP(B1278,[1]!Tabela1[[Cidades ]],[1]!Tabela1[Regional],0,0,1)</f>
        <v>Magno</v>
      </c>
      <c r="H1278" s="8" t="str">
        <f>_xlfn.XLOOKUP(B1278,[1]!Tabela1[[Cidades ]],[1]!Tabela1[Gerente],0,0,1)</f>
        <v>Demais coordenadores</v>
      </c>
    </row>
    <row r="1279" spans="1:8" x14ac:dyDescent="0.3">
      <c r="A1279" s="9" t="s">
        <v>1438</v>
      </c>
      <c r="B1279" s="10" t="s">
        <v>38</v>
      </c>
      <c r="C1279" s="11">
        <v>45839</v>
      </c>
      <c r="D1279" s="12">
        <v>853036</v>
      </c>
      <c r="E1279" s="5" t="str">
        <f>_xlfn.XLOOKUP(D1279,[1]!Tabela24[Código consultor],[1]!Tabela24[Consultor Venda],0,0,1)</f>
        <v>COM - PGO - BRENDA JULIANA DENCK DA ROCHA</v>
      </c>
      <c r="F1279" s="5" t="str">
        <f>_xlfn.XLOOKUP(D1279,[1]!Tabela24[Código consultor],[1]!Tabela24[Canal Consultor],0,0,1)</f>
        <v>Pap</v>
      </c>
      <c r="G1279" s="10" t="str">
        <f>_xlfn.XLOOKUP(B1279,[1]!Tabela1[[Cidades ]],[1]!Tabela1[Regional],0,0,1)</f>
        <v>Jean</v>
      </c>
      <c r="H1279" s="13" t="str">
        <f>_xlfn.XLOOKUP(B1279,[1]!Tabela1[[Cidades ]],[1]!Tabela1[Gerente],0,0,1)</f>
        <v>Demais coordenadores</v>
      </c>
    </row>
    <row r="1280" spans="1:8" x14ac:dyDescent="0.3">
      <c r="A1280" s="4" t="s">
        <v>89</v>
      </c>
      <c r="B1280" s="5" t="s">
        <v>23</v>
      </c>
      <c r="C1280" s="6">
        <v>45839</v>
      </c>
      <c r="D1280" s="7">
        <v>858832</v>
      </c>
      <c r="E1280" s="5" t="str">
        <f>_xlfn.XLOOKUP(D1280,[1]!Tabela24[Código consultor],[1]!Tabela24[Consultor Venda],0,0,1)</f>
        <v>COM - CAN - RAYSSA RIBEIRO CRISOSTOMO BENJAMIM</v>
      </c>
      <c r="F1280" s="5" t="str">
        <f>_xlfn.XLOOKUP(D1280,[1]!Tabela24[Código consultor],[1]!Tabela24[Canal Consultor],0,0,1)</f>
        <v>Pap</v>
      </c>
      <c r="G1280" s="5" t="str">
        <f>_xlfn.XLOOKUP(B1280,[1]!Tabela1[[Cidades ]],[1]!Tabela1[Regional],0,0,1)</f>
        <v>Magno</v>
      </c>
      <c r="H1280" s="8" t="str">
        <f>_xlfn.XLOOKUP(B1280,[1]!Tabela1[[Cidades ]],[1]!Tabela1[Gerente],0,0,1)</f>
        <v>Demais coordenadores</v>
      </c>
    </row>
    <row r="1281" spans="1:8" x14ac:dyDescent="0.3">
      <c r="A1281" s="9" t="s">
        <v>1440</v>
      </c>
      <c r="B1281" s="10" t="s">
        <v>65</v>
      </c>
      <c r="C1281" s="11">
        <v>45839</v>
      </c>
      <c r="D1281" s="12">
        <v>725067</v>
      </c>
      <c r="E1281" s="5" t="str">
        <f>_xlfn.XLOOKUP(D1281,[1]!Tabela24[Código consultor],[1]!Tabela24[Consultor Venda],0,0,1)</f>
        <v>COM - CHN - MICHELY SANTOS DOS SANTOS</v>
      </c>
      <c r="F1281" s="5" t="str">
        <f>_xlfn.XLOOKUP(D1281,[1]!Tabela24[Código consultor],[1]!Tabela24[Canal Consultor],0,0,1)</f>
        <v>Pap</v>
      </c>
      <c r="G1281" s="10" t="str">
        <f>_xlfn.XLOOKUP(B1281,[1]!Tabela1[[Cidades ]],[1]!Tabela1[Regional],0,0,1)</f>
        <v>Marcio</v>
      </c>
      <c r="H1281" s="13" t="str">
        <f>_xlfn.XLOOKUP(B1281,[1]!Tabela1[[Cidades ]],[1]!Tabela1[Gerente],0,0,1)</f>
        <v>Demais coordenadores</v>
      </c>
    </row>
    <row r="1282" spans="1:8" x14ac:dyDescent="0.3">
      <c r="A1282" s="4" t="s">
        <v>1443</v>
      </c>
      <c r="B1282" s="5" t="s">
        <v>47</v>
      </c>
      <c r="C1282" s="6">
        <v>45839</v>
      </c>
      <c r="D1282" s="7">
        <v>822770</v>
      </c>
      <c r="E1282" s="5" t="str">
        <f>_xlfn.XLOOKUP(D1282,[1]!Tabela24[Código consultor],[1]!Tabela24[Consultor Venda],0,0,1)</f>
        <v>COM - SCR - VINICIUS ALCEMAR DA SILVA</v>
      </c>
      <c r="F1282" s="5" t="str">
        <f>_xlfn.XLOOKUP(D1282,[1]!Tabela24[Código consultor],[1]!Tabela24[Canal Consultor],0,0,1)</f>
        <v>Pap</v>
      </c>
      <c r="G1282" s="5" t="str">
        <f>_xlfn.XLOOKUP(B1282,[1]!Tabela1[[Cidades ]],[1]!Tabela1[Regional],0,0,1)</f>
        <v>Magno</v>
      </c>
      <c r="H1282" s="8" t="str">
        <f>_xlfn.XLOOKUP(B1282,[1]!Tabela1[[Cidades ]],[1]!Tabela1[Gerente],0,0,1)</f>
        <v>Demais coordenadores</v>
      </c>
    </row>
    <row r="1283" spans="1:8" x14ac:dyDescent="0.3">
      <c r="A1283" s="9" t="s">
        <v>1445</v>
      </c>
      <c r="B1283" s="10" t="s">
        <v>31</v>
      </c>
      <c r="C1283" s="11">
        <v>45839</v>
      </c>
      <c r="D1283" s="12">
        <v>197832</v>
      </c>
      <c r="E1283" s="5" t="str">
        <f>_xlfn.XLOOKUP(D1283,[1]!Tabela24[Código consultor],[1]!Tabela24[Consultor Venda],0,0,1)</f>
        <v>DIG - CCO - RAIANE BERGAMIN</v>
      </c>
      <c r="F1283" s="5" t="str">
        <f>_xlfn.XLOOKUP(D1283,[1]!Tabela24[Código consultor],[1]!Tabela24[Canal Consultor],0,0,1)</f>
        <v>DIGITAL</v>
      </c>
      <c r="G1283" s="10" t="str">
        <f>_xlfn.XLOOKUP(B1283,[1]!Tabela1[[Cidades ]],[1]!Tabela1[Regional],0,0,1)</f>
        <v>Maycon</v>
      </c>
      <c r="H1283" s="13" t="str">
        <f>_xlfn.XLOOKUP(B1283,[1]!Tabela1[[Cidades ]],[1]!Tabela1[Gerente],0,0,1)</f>
        <v>Demais coordenadores</v>
      </c>
    </row>
    <row r="1284" spans="1:8" x14ac:dyDescent="0.3">
      <c r="A1284" s="4" t="s">
        <v>1446</v>
      </c>
      <c r="B1284" s="5" t="s">
        <v>10</v>
      </c>
      <c r="C1284" s="6">
        <v>45839</v>
      </c>
      <c r="D1284" s="7">
        <v>562578</v>
      </c>
      <c r="E1284" s="5" t="str">
        <f>_xlfn.XLOOKUP(D1284,[1]!Tabela24[Código consultor],[1]!Tabela24[Consultor Venda],0,0,1)</f>
        <v>PAR - GRP - COM - MOBILE - JOANA ISABELA DILGER</v>
      </c>
      <c r="F1284" s="5" t="str">
        <f>_xlfn.XLOOKUP(D1284,[1]!Tabela24[Código consultor],[1]!Tabela24[Canal Consultor],0,0,1)</f>
        <v>par</v>
      </c>
      <c r="G1284" s="5" t="str">
        <f>_xlfn.XLOOKUP(B1284,[1]!Tabela1[[Cidades ]],[1]!Tabela1[Regional],0,0,1)</f>
        <v>Jean</v>
      </c>
      <c r="H1284" s="8" t="str">
        <f>_xlfn.XLOOKUP(B1284,[1]!Tabela1[[Cidades ]],[1]!Tabela1[Gerente],0,0,1)</f>
        <v>Demais coordenadores</v>
      </c>
    </row>
    <row r="1285" spans="1:8" x14ac:dyDescent="0.3">
      <c r="A1285" s="9" t="s">
        <v>1448</v>
      </c>
      <c r="B1285" s="10" t="s">
        <v>19</v>
      </c>
      <c r="C1285" s="11">
        <v>45839</v>
      </c>
      <c r="D1285" s="12">
        <v>262147</v>
      </c>
      <c r="E1285" s="5" t="str">
        <f>_xlfn.XLOOKUP(D1285,[1]!Tabela24[Código consultor],[1]!Tabela24[Consultor Venda],0,0,1)</f>
        <v>COM - GTI - ALESANDRA PETRY BRAZEIRO</v>
      </c>
      <c r="F1285" s="5" t="str">
        <f>_xlfn.XLOOKUP(D1285,[1]!Tabela24[Código consultor],[1]!Tabela24[Canal Consultor],0,0,1)</f>
        <v>Pap</v>
      </c>
      <c r="G1285" s="10" t="str">
        <f>_xlfn.XLOOKUP(B1285,[1]!Tabela1[[Cidades ]],[1]!Tabela1[Regional],0,0,1)</f>
        <v>Magno</v>
      </c>
      <c r="H1285" s="13" t="str">
        <f>_xlfn.XLOOKUP(B1285,[1]!Tabela1[[Cidades ]],[1]!Tabela1[Gerente],0,0,1)</f>
        <v>Demais coordenadores</v>
      </c>
    </row>
    <row r="1286" spans="1:8" x14ac:dyDescent="0.3">
      <c r="A1286" s="4" t="s">
        <v>1449</v>
      </c>
      <c r="B1286" s="5" t="s">
        <v>12</v>
      </c>
      <c r="C1286" s="6">
        <v>45839</v>
      </c>
      <c r="D1286" s="7">
        <v>788656</v>
      </c>
      <c r="E1286" s="5" t="str">
        <f>_xlfn.XLOOKUP(D1286,[1]!Tabela24[Código consultor],[1]!Tabela24[Consultor Venda],0,0,1)</f>
        <v>PAR - STB - PAP - JOY TELECOM - GABRIELA ALVES DE GODOY</v>
      </c>
      <c r="F1286" s="5" t="str">
        <f>_xlfn.XLOOKUP(D1286,[1]!Tabela24[Código consultor],[1]!Tabela24[Canal Consultor],0,0,1)</f>
        <v>PAR_DIG</v>
      </c>
      <c r="G1286" s="5" t="str">
        <f>_xlfn.XLOOKUP(B1286,[1]!Tabela1[[Cidades ]],[1]!Tabela1[Regional],0,0,1)</f>
        <v>Jean</v>
      </c>
      <c r="H1286" s="8" t="str">
        <f>_xlfn.XLOOKUP(B1286,[1]!Tabela1[[Cidades ]],[1]!Tabela1[Gerente],0,0,1)</f>
        <v>Demais coordenadores</v>
      </c>
    </row>
    <row r="1287" spans="1:8" x14ac:dyDescent="0.3">
      <c r="A1287" s="9" t="s">
        <v>1450</v>
      </c>
      <c r="B1287" s="10" t="s">
        <v>18</v>
      </c>
      <c r="C1287" s="11">
        <v>45839</v>
      </c>
      <c r="D1287" s="12">
        <v>257754</v>
      </c>
      <c r="E1287" s="5" t="str">
        <f>_xlfn.XLOOKUP(D1287,[1]!Tabela24[Código consultor],[1]!Tabela24[Consultor Venda],0,0,1)</f>
        <v>COM - MVH - BRUNA LUISA SELZLER</v>
      </c>
      <c r="F1287" s="5" t="str">
        <f>_xlfn.XLOOKUP(D1287,[1]!Tabela24[Código consultor],[1]!Tabela24[Canal Consultor],0,0,1)</f>
        <v>INTERNO</v>
      </c>
      <c r="G1287" s="10" t="str">
        <f>_xlfn.XLOOKUP(B1287,[1]!Tabela1[[Cidades ]],[1]!Tabela1[Regional],0,0,1)</f>
        <v>Maycon</v>
      </c>
      <c r="H1287" s="13" t="str">
        <f>_xlfn.XLOOKUP(B1287,[1]!Tabela1[[Cidades ]],[1]!Tabela1[Gerente],0,0,1)</f>
        <v>Demais coordenadores</v>
      </c>
    </row>
    <row r="1288" spans="1:8" x14ac:dyDescent="0.3">
      <c r="A1288" s="4" t="s">
        <v>1451</v>
      </c>
      <c r="B1288" s="5" t="s">
        <v>65</v>
      </c>
      <c r="C1288" s="6">
        <v>45839</v>
      </c>
      <c r="D1288" s="7">
        <v>683063</v>
      </c>
      <c r="E1288" s="5" t="str">
        <f>_xlfn.XLOOKUP(D1288,[1]!Tabela24[Código consultor],[1]!Tabela24[Consultor Venda],0,0,1)</f>
        <v>COM - CUA - BRUNO MANOEL DO NASCIMENTO</v>
      </c>
      <c r="F1288" s="5" t="str">
        <f>_xlfn.XLOOKUP(D1288,[1]!Tabela24[Código consultor],[1]!Tabela24[Canal Consultor],0,0,1)</f>
        <v>Pap</v>
      </c>
      <c r="G1288" s="5" t="str">
        <f>_xlfn.XLOOKUP(B1288,[1]!Tabela1[[Cidades ]],[1]!Tabela1[Regional],0,0,1)</f>
        <v>Marcio</v>
      </c>
      <c r="H1288" s="8" t="str">
        <f>_xlfn.XLOOKUP(B1288,[1]!Tabela1[[Cidades ]],[1]!Tabela1[Gerente],0,0,1)</f>
        <v>Demais coordenadores</v>
      </c>
    </row>
    <row r="1289" spans="1:8" x14ac:dyDescent="0.3">
      <c r="A1289" s="9" t="s">
        <v>1453</v>
      </c>
      <c r="B1289" s="10" t="s">
        <v>48</v>
      </c>
      <c r="C1289" s="11">
        <v>45839</v>
      </c>
      <c r="D1289" s="12">
        <v>843508</v>
      </c>
      <c r="E1289" s="5" t="str">
        <f>_xlfn.XLOOKUP(D1289,[1]!Tabela24[Código consultor],[1]!Tabela24[Consultor Venda],0,0,1)</f>
        <v>PAR - COM - PSW - TORMEN INFORMATICA - GABRIELA P. GIRARDI</v>
      </c>
      <c r="F1289" s="5" t="str">
        <f>_xlfn.XLOOKUP(D1289,[1]!Tabela24[Código consultor],[1]!Tabela24[Canal Consultor],0,0,1)</f>
        <v>PAR</v>
      </c>
      <c r="G1289" s="10" t="str">
        <f>_xlfn.XLOOKUP(B1289,[1]!Tabela1[[Cidades ]],[1]!Tabela1[Regional],0,0,1)</f>
        <v>Maycon</v>
      </c>
      <c r="H1289" s="13" t="str">
        <f>_xlfn.XLOOKUP(B1289,[1]!Tabela1[[Cidades ]],[1]!Tabela1[Gerente],0,0,1)</f>
        <v>Demais coordenadores</v>
      </c>
    </row>
    <row r="1290" spans="1:8" x14ac:dyDescent="0.3">
      <c r="A1290" s="4" t="s">
        <v>1454</v>
      </c>
      <c r="B1290" s="5" t="s">
        <v>12</v>
      </c>
      <c r="C1290" s="6">
        <v>45839</v>
      </c>
      <c r="D1290" s="7">
        <v>236724</v>
      </c>
      <c r="E1290" s="5" t="str">
        <f>_xlfn.XLOOKUP(D1290,[1]!Tabela24[Código consultor],[1]!Tabela24[Consultor Venda],0,0,1)</f>
        <v>COM - PGO - MAISE GABRIELLY BATISTA</v>
      </c>
      <c r="F1290" s="5" t="str">
        <f>_xlfn.XLOOKUP(D1290,[1]!Tabela24[Código consultor],[1]!Tabela24[Canal Consultor],0,0,1)</f>
        <v>INTERNO</v>
      </c>
      <c r="G1290" s="5" t="str">
        <f>_xlfn.XLOOKUP(B1290,[1]!Tabela1[[Cidades ]],[1]!Tabela1[Regional],0,0,1)</f>
        <v>Jean</v>
      </c>
      <c r="H1290" s="8" t="str">
        <f>_xlfn.XLOOKUP(B1290,[1]!Tabela1[[Cidades ]],[1]!Tabela1[Gerente],0,0,1)</f>
        <v>Demais coordenadores</v>
      </c>
    </row>
    <row r="1291" spans="1:8" x14ac:dyDescent="0.3">
      <c r="A1291" s="9" t="s">
        <v>1455</v>
      </c>
      <c r="B1291" s="10" t="s">
        <v>19</v>
      </c>
      <c r="C1291" s="11">
        <v>45839</v>
      </c>
      <c r="D1291" s="12">
        <v>781646</v>
      </c>
      <c r="E1291" s="5" t="str">
        <f>_xlfn.XLOOKUP(D1291,[1]!Tabela24[Código consultor],[1]!Tabela24[Consultor Venda],0,0,1)</f>
        <v>COM - CHN - EDUARDA BECKER RANGEL</v>
      </c>
      <c r="F1291" s="5" t="str">
        <f>_xlfn.XLOOKUP(D1291,[1]!Tabela24[Código consultor],[1]!Tabela24[Canal Consultor],0,0,1)</f>
        <v>Pap</v>
      </c>
      <c r="G1291" s="10" t="str">
        <f>_xlfn.XLOOKUP(B1291,[1]!Tabela1[[Cidades ]],[1]!Tabela1[Regional],0,0,1)</f>
        <v>Magno</v>
      </c>
      <c r="H1291" s="13" t="str">
        <f>_xlfn.XLOOKUP(B1291,[1]!Tabela1[[Cidades ]],[1]!Tabela1[Gerente],0,0,1)</f>
        <v>Demais coordenadores</v>
      </c>
    </row>
    <row r="1292" spans="1:8" x14ac:dyDescent="0.3">
      <c r="A1292" s="4" t="s">
        <v>1457</v>
      </c>
      <c r="B1292" s="5" t="s">
        <v>60</v>
      </c>
      <c r="C1292" s="6">
        <v>45839</v>
      </c>
      <c r="D1292" s="7">
        <v>878848</v>
      </c>
      <c r="E1292" s="5" t="str">
        <f>_xlfn.XLOOKUP(D1292,[1]!Tabela24[Código consultor],[1]!Tabela24[Consultor Venda],0,0,1)</f>
        <v>COM - CHN - MATHEUS ALFREDO MACEDO</v>
      </c>
      <c r="F1292" s="5" t="str">
        <f>_xlfn.XLOOKUP(D1292,[1]!Tabela24[Código consultor],[1]!Tabela24[Canal Consultor],0,0,1)</f>
        <v>Pap</v>
      </c>
      <c r="G1292" s="5" t="str">
        <f>_xlfn.XLOOKUP(B1292,[1]!Tabela1[[Cidades ]],[1]!Tabela1[Regional],0,0,1)</f>
        <v>Magno</v>
      </c>
      <c r="H1292" s="8" t="str">
        <f>_xlfn.XLOOKUP(B1292,[1]!Tabela1[[Cidades ]],[1]!Tabela1[Gerente],0,0,1)</f>
        <v>Demais coordenadores</v>
      </c>
    </row>
    <row r="1293" spans="1:8" x14ac:dyDescent="0.3">
      <c r="A1293" s="9" t="s">
        <v>1458</v>
      </c>
      <c r="B1293" s="10" t="s">
        <v>50</v>
      </c>
      <c r="C1293" s="11">
        <v>45839</v>
      </c>
      <c r="D1293" s="12">
        <v>683349</v>
      </c>
      <c r="E1293" s="5" t="str">
        <f>_xlfn.XLOOKUP(D1293,[1]!Tabela24[Código consultor],[1]!Tabela24[Consultor Venda],0,0,1)</f>
        <v>DIG - CCO - EVELLIN SALOA MAIA DA CONCEICAO</v>
      </c>
      <c r="F1293" s="5" t="str">
        <f>_xlfn.XLOOKUP(D1293,[1]!Tabela24[Código consultor],[1]!Tabela24[Canal Consultor],0,0,1)</f>
        <v>DIGITAL</v>
      </c>
      <c r="G1293" s="10" t="str">
        <f>_xlfn.XLOOKUP(B1293,[1]!Tabela1[[Cidades ]],[1]!Tabela1[Regional],0,0,1)</f>
        <v>Marcio</v>
      </c>
      <c r="H1293" s="13" t="str">
        <f>_xlfn.XLOOKUP(B1293,[1]!Tabela1[[Cidades ]],[1]!Tabela1[Gerente],0,0,1)</f>
        <v>Demais coordenadores</v>
      </c>
    </row>
    <row r="1294" spans="1:8" x14ac:dyDescent="0.3">
      <c r="A1294" s="4" t="s">
        <v>1459</v>
      </c>
      <c r="B1294" s="5" t="s">
        <v>47</v>
      </c>
      <c r="C1294" s="6">
        <v>45839</v>
      </c>
      <c r="D1294" s="7">
        <v>716615</v>
      </c>
      <c r="E1294" s="5" t="str">
        <f>_xlfn.XLOOKUP(D1294,[1]!Tabela24[Código consultor],[1]!Tabela24[Consultor Venda],0,0,1)</f>
        <v>COM - SCR - MARCO ANTONIO NUNES DOS SANTOS</v>
      </c>
      <c r="F1294" s="5" t="str">
        <f>_xlfn.XLOOKUP(D1294,[1]!Tabela24[Código consultor],[1]!Tabela24[Canal Consultor],0,0,1)</f>
        <v>Pap</v>
      </c>
      <c r="G1294" s="5" t="str">
        <f>_xlfn.XLOOKUP(B1294,[1]!Tabela1[[Cidades ]],[1]!Tabela1[Regional],0,0,1)</f>
        <v>Magno</v>
      </c>
      <c r="H1294" s="8" t="str">
        <f>_xlfn.XLOOKUP(B1294,[1]!Tabela1[[Cidades ]],[1]!Tabela1[Gerente],0,0,1)</f>
        <v>Demais coordenadores</v>
      </c>
    </row>
    <row r="1295" spans="1:8" x14ac:dyDescent="0.3">
      <c r="A1295" s="9" t="s">
        <v>1460</v>
      </c>
      <c r="B1295" s="10" t="s">
        <v>75</v>
      </c>
      <c r="C1295" s="11">
        <v>45839</v>
      </c>
      <c r="D1295" s="12">
        <v>237623</v>
      </c>
      <c r="E1295" s="5" t="str">
        <f>_xlfn.XLOOKUP(D1295,[1]!Tabela24[Código consultor],[1]!Tabela24[Consultor Venda],0,0,1)</f>
        <v>COM - LJO - VITORIA CAROLINE BALDEZ ROSSALES</v>
      </c>
      <c r="F1295" s="5" t="str">
        <f>_xlfn.XLOOKUP(D1295,[1]!Tabela24[Código consultor],[1]!Tabela24[Canal Consultor],0,0,1)</f>
        <v>Pap</v>
      </c>
      <c r="G1295" s="10" t="str">
        <f>_xlfn.XLOOKUP(B1295,[1]!Tabela1[[Cidades ]],[1]!Tabela1[Regional],0,0,1)</f>
        <v>Magno</v>
      </c>
      <c r="H1295" s="13" t="str">
        <f>_xlfn.XLOOKUP(B1295,[1]!Tabela1[[Cidades ]],[1]!Tabela1[Gerente],0,0,1)</f>
        <v>Demais coordenadores</v>
      </c>
    </row>
    <row r="1296" spans="1:8" x14ac:dyDescent="0.3">
      <c r="A1296" s="4" t="s">
        <v>1462</v>
      </c>
      <c r="B1296" s="5" t="s">
        <v>47</v>
      </c>
      <c r="C1296" s="6">
        <v>45839</v>
      </c>
      <c r="D1296" s="7">
        <v>822770</v>
      </c>
      <c r="E1296" s="5" t="str">
        <f>_xlfn.XLOOKUP(D1296,[1]!Tabela24[Código consultor],[1]!Tabela24[Consultor Venda],0,0,1)</f>
        <v>COM - SCR - VINICIUS ALCEMAR DA SILVA</v>
      </c>
      <c r="F1296" s="5" t="str">
        <f>_xlfn.XLOOKUP(D1296,[1]!Tabela24[Código consultor],[1]!Tabela24[Canal Consultor],0,0,1)</f>
        <v>Pap</v>
      </c>
      <c r="G1296" s="5" t="str">
        <f>_xlfn.XLOOKUP(B1296,[1]!Tabela1[[Cidades ]],[1]!Tabela1[Regional],0,0,1)</f>
        <v>Magno</v>
      </c>
      <c r="H1296" s="8" t="str">
        <f>_xlfn.XLOOKUP(B1296,[1]!Tabela1[[Cidades ]],[1]!Tabela1[Gerente],0,0,1)</f>
        <v>Demais coordenadores</v>
      </c>
    </row>
    <row r="1297" spans="1:8" x14ac:dyDescent="0.3">
      <c r="A1297" s="9" t="s">
        <v>1466</v>
      </c>
      <c r="B1297" s="10" t="s">
        <v>15</v>
      </c>
      <c r="C1297" s="11">
        <v>45839</v>
      </c>
      <c r="D1297" s="12">
        <v>824664</v>
      </c>
      <c r="E1297" s="5" t="str">
        <f>_xlfn.XLOOKUP(D1297,[1]!Tabela24[Código consultor],[1]!Tabela24[Consultor Venda],0,0,1)</f>
        <v>JOAO PEDRO DE CASTRO TRENTIN</v>
      </c>
      <c r="F1297" s="5" t="str">
        <f>_xlfn.XLOOKUP(D1297,[1]!Tabela24[Código consultor],[1]!Tabela24[Canal Consultor],0,0,1)</f>
        <v>Pap</v>
      </c>
      <c r="G1297" s="10" t="str">
        <f>_xlfn.XLOOKUP(B1297,[1]!Tabela1[[Cidades ]],[1]!Tabela1[Regional],0,0,1)</f>
        <v>Marcio</v>
      </c>
      <c r="H1297" s="13" t="str">
        <f>_xlfn.XLOOKUP(B1297,[1]!Tabela1[[Cidades ]],[1]!Tabela1[Gerente],0,0,1)</f>
        <v>Demais coordenadores</v>
      </c>
    </row>
    <row r="1298" spans="1:8" x14ac:dyDescent="0.3">
      <c r="A1298" s="4" t="s">
        <v>1364</v>
      </c>
      <c r="B1298" s="5" t="s">
        <v>29</v>
      </c>
      <c r="C1298" s="6">
        <v>45839</v>
      </c>
      <c r="D1298" s="7">
        <v>811004</v>
      </c>
      <c r="E1298" s="5" t="str">
        <f>_xlfn.XLOOKUP(D1298,[1]!Tabela24[Código consultor],[1]!Tabela24[Consultor Venda],0,0,1)</f>
        <v>COM - TOO - GABRIELLY VAZQUES DE LIMA</v>
      </c>
      <c r="F1298" s="5" t="str">
        <f>_xlfn.XLOOKUP(D1298,[1]!Tabela24[Código consultor],[1]!Tabela24[Canal Consultor],0,0,1)</f>
        <v>INTERNO</v>
      </c>
      <c r="G1298" s="5" t="str">
        <f>_xlfn.XLOOKUP(B1298,[1]!Tabela1[[Cidades ]],[1]!Tabela1[Regional],0,0,1)</f>
        <v>Adilson</v>
      </c>
      <c r="H1298" s="8" t="str">
        <f>_xlfn.XLOOKUP(B1298,[1]!Tabela1[[Cidades ]],[1]!Tabela1[Gerente],0,0,1)</f>
        <v>Demais coordenadores</v>
      </c>
    </row>
    <row r="1299" spans="1:8" x14ac:dyDescent="0.3">
      <c r="A1299" s="9" t="s">
        <v>1467</v>
      </c>
      <c r="B1299" s="10" t="s">
        <v>60</v>
      </c>
      <c r="C1299" s="11">
        <v>45839</v>
      </c>
      <c r="D1299" s="12">
        <v>653931</v>
      </c>
      <c r="E1299" s="5" t="str">
        <f>_xlfn.XLOOKUP(D1299,[1]!Tabela24[Código consultor],[1]!Tabela24[Consultor Venda],0,0,1)</f>
        <v>COM - CHN - SANTIAGO DA SILVA RODRIGUES</v>
      </c>
      <c r="F1299" s="5" t="str">
        <f>_xlfn.XLOOKUP(D1299,[1]!Tabela24[Código consultor],[1]!Tabela24[Canal Consultor],0,0,1)</f>
        <v>Pap</v>
      </c>
      <c r="G1299" s="10" t="str">
        <f>_xlfn.XLOOKUP(B1299,[1]!Tabela1[[Cidades ]],[1]!Tabela1[Regional],0,0,1)</f>
        <v>Magno</v>
      </c>
      <c r="H1299" s="13" t="str">
        <f>_xlfn.XLOOKUP(B1299,[1]!Tabela1[[Cidades ]],[1]!Tabela1[Gerente],0,0,1)</f>
        <v>Demais coordenadores</v>
      </c>
    </row>
    <row r="1300" spans="1:8" x14ac:dyDescent="0.3">
      <c r="A1300" s="4" t="s">
        <v>1468</v>
      </c>
      <c r="B1300" s="5" t="s">
        <v>42</v>
      </c>
      <c r="C1300" s="6">
        <v>45839</v>
      </c>
      <c r="D1300" s="7">
        <v>878851</v>
      </c>
      <c r="E1300" s="5" t="str">
        <f>_xlfn.XLOOKUP(D1300,[1]!Tabela24[Código consultor],[1]!Tabela24[Consultor Venda],0,0,1)</f>
        <v>COM - CDA - ANDERSON DE OLIVEIRA</v>
      </c>
      <c r="F1300" s="5" t="str">
        <f>_xlfn.XLOOKUP(D1300,[1]!Tabela24[Código consultor],[1]!Tabela24[Canal Consultor],0,0,1)</f>
        <v>Pap</v>
      </c>
      <c r="G1300" s="5" t="str">
        <f>_xlfn.XLOOKUP(B1300,[1]!Tabela1[[Cidades ]],[1]!Tabela1[Regional],0,0,1)</f>
        <v>Maycon</v>
      </c>
      <c r="H1300" s="8" t="str">
        <f>_xlfn.XLOOKUP(B1300,[1]!Tabela1[[Cidades ]],[1]!Tabela1[Gerente],0,0,1)</f>
        <v>Demais coordenadores</v>
      </c>
    </row>
    <row r="1301" spans="1:8" x14ac:dyDescent="0.3">
      <c r="A1301" s="9" t="s">
        <v>1469</v>
      </c>
      <c r="B1301" s="10" t="s">
        <v>22</v>
      </c>
      <c r="C1301" s="11">
        <v>45839</v>
      </c>
      <c r="D1301" s="12">
        <v>617463</v>
      </c>
      <c r="E1301" s="5" t="str">
        <f>_xlfn.XLOOKUP(D1301,[1]!Tabela24[Código consultor],[1]!Tabela24[Consultor Venda],0,0,1)</f>
        <v>DIG - CCO - ALEX AUGUSTO DA CRUZ RODRIGUES</v>
      </c>
      <c r="F1301" s="5" t="str">
        <f>_xlfn.XLOOKUP(D1301,[1]!Tabela24[Código consultor],[1]!Tabela24[Canal Consultor],0,0,1)</f>
        <v>DIGITAL</v>
      </c>
      <c r="G1301" s="10" t="str">
        <f>_xlfn.XLOOKUP(B1301,[1]!Tabela1[[Cidades ]],[1]!Tabela1[Regional],0,0,1)</f>
        <v>Magno</v>
      </c>
      <c r="H1301" s="13" t="str">
        <f>_xlfn.XLOOKUP(B1301,[1]!Tabela1[[Cidades ]],[1]!Tabela1[Gerente],0,0,1)</f>
        <v>Demais coordenadores</v>
      </c>
    </row>
    <row r="1302" spans="1:8" x14ac:dyDescent="0.3">
      <c r="A1302" s="4" t="s">
        <v>1470</v>
      </c>
      <c r="B1302" s="5" t="s">
        <v>57</v>
      </c>
      <c r="C1302" s="6">
        <v>45839</v>
      </c>
      <c r="D1302" s="7">
        <v>621514</v>
      </c>
      <c r="E1302" s="5" t="str">
        <f>_xlfn.XLOOKUP(D1302,[1]!Tabela24[Código consultor],[1]!Tabela24[Consultor Venda],0,0,1)</f>
        <v>COM - PLI - ELIZANDRA CARDOSO DA CRUZ</v>
      </c>
      <c r="F1302" s="5" t="str">
        <f>_xlfn.XLOOKUP(D1302,[1]!Tabela24[Código consultor],[1]!Tabela24[Canal Consultor],0,0,1)</f>
        <v>INTERNO</v>
      </c>
      <c r="G1302" s="5" t="str">
        <f>_xlfn.XLOOKUP(B1302,[1]!Tabela1[[Cidades ]],[1]!Tabela1[Regional],0,0,1)</f>
        <v>Maycon</v>
      </c>
      <c r="H1302" s="8" t="str">
        <f>_xlfn.XLOOKUP(B1302,[1]!Tabela1[[Cidades ]],[1]!Tabela1[Gerente],0,0,1)</f>
        <v>Demais coordenadores</v>
      </c>
    </row>
    <row r="1303" spans="1:8" x14ac:dyDescent="0.3">
      <c r="A1303" s="9" t="s">
        <v>1471</v>
      </c>
      <c r="B1303" s="10" t="s">
        <v>23</v>
      </c>
      <c r="C1303" s="11">
        <v>45839</v>
      </c>
      <c r="D1303" s="12">
        <v>827985</v>
      </c>
      <c r="E1303" s="5" t="str">
        <f>_xlfn.XLOOKUP(D1303,[1]!Tabela24[Código consultor],[1]!Tabela24[Consultor Venda],0,0,1)</f>
        <v>COM - GTI - KELLEN SANTOS IOHANN</v>
      </c>
      <c r="F1303" s="5" t="str">
        <f>_xlfn.XLOOKUP(D1303,[1]!Tabela24[Código consultor],[1]!Tabela24[Canal Consultor],0,0,1)</f>
        <v>Pap</v>
      </c>
      <c r="G1303" s="10" t="str">
        <f>_xlfn.XLOOKUP(B1303,[1]!Tabela1[[Cidades ]],[1]!Tabela1[Regional],0,0,1)</f>
        <v>Magno</v>
      </c>
      <c r="H1303" s="13" t="str">
        <f>_xlfn.XLOOKUP(B1303,[1]!Tabela1[[Cidades ]],[1]!Tabela1[Gerente],0,0,1)</f>
        <v>Demais coordenadores</v>
      </c>
    </row>
    <row r="1304" spans="1:8" x14ac:dyDescent="0.3">
      <c r="A1304" s="4" t="s">
        <v>1473</v>
      </c>
      <c r="B1304" s="5" t="s">
        <v>93</v>
      </c>
      <c r="C1304" s="6">
        <v>45839</v>
      </c>
      <c r="D1304" s="7">
        <v>600710</v>
      </c>
      <c r="E1304" s="5" t="str">
        <f>_xlfn.XLOOKUP(D1304,[1]!Tabela24[Código consultor],[1]!Tabela24[Consultor Venda],0,0,1)</f>
        <v>DIG - CCO - BRUNA BALBINOTTI</v>
      </c>
      <c r="F1304" s="5" t="str">
        <f>_xlfn.XLOOKUP(D1304,[1]!Tabela24[Código consultor],[1]!Tabela24[Canal Consultor],0,0,1)</f>
        <v>DIGITAL</v>
      </c>
      <c r="G1304" s="5" t="str">
        <f>_xlfn.XLOOKUP(B1304,[1]!Tabela1[[Cidades ]],[1]!Tabela1[Regional],0,0,1)</f>
        <v>Maycon</v>
      </c>
      <c r="H1304" s="8" t="str">
        <f>_xlfn.XLOOKUP(B1304,[1]!Tabela1[[Cidades ]],[1]!Tabela1[Gerente],0,0,1)</f>
        <v>Demais coordenadores</v>
      </c>
    </row>
    <row r="1305" spans="1:8" x14ac:dyDescent="0.3">
      <c r="A1305" s="9" t="s">
        <v>1476</v>
      </c>
      <c r="B1305" s="10" t="s">
        <v>10</v>
      </c>
      <c r="C1305" s="11">
        <v>45839</v>
      </c>
      <c r="D1305" s="12">
        <v>617463</v>
      </c>
      <c r="E1305" s="5" t="str">
        <f>_xlfn.XLOOKUP(D1305,[1]!Tabela24[Código consultor],[1]!Tabela24[Consultor Venda],0,0,1)</f>
        <v>DIG - CCO - ALEX AUGUSTO DA CRUZ RODRIGUES</v>
      </c>
      <c r="F1305" s="5" t="str">
        <f>_xlfn.XLOOKUP(D1305,[1]!Tabela24[Código consultor],[1]!Tabela24[Canal Consultor],0,0,1)</f>
        <v>DIGITAL</v>
      </c>
      <c r="G1305" s="10" t="str">
        <f>_xlfn.XLOOKUP(B1305,[1]!Tabela1[[Cidades ]],[1]!Tabela1[Regional],0,0,1)</f>
        <v>Jean</v>
      </c>
      <c r="H1305" s="13" t="str">
        <f>_xlfn.XLOOKUP(B1305,[1]!Tabela1[[Cidades ]],[1]!Tabela1[Gerente],0,0,1)</f>
        <v>Demais coordenadores</v>
      </c>
    </row>
    <row r="1306" spans="1:8" x14ac:dyDescent="0.3">
      <c r="A1306" s="4" t="s">
        <v>127</v>
      </c>
      <c r="B1306" s="5" t="s">
        <v>24</v>
      </c>
      <c r="C1306" s="6">
        <v>45839</v>
      </c>
      <c r="D1306" s="7">
        <v>877649</v>
      </c>
      <c r="E1306" s="5" t="str">
        <f>_xlfn.XLOOKUP(D1306,[1]!Tabela24[Código consultor],[1]!Tabela24[Consultor Venda],0,0,1)</f>
        <v>COM - SMA - NIKOLAS GUTERRES COMIN</v>
      </c>
      <c r="F1306" s="5" t="str">
        <f>_xlfn.XLOOKUP(D1306,[1]!Tabela24[Código consultor],[1]!Tabela24[Canal Consultor],0,0,1)</f>
        <v>Pap</v>
      </c>
      <c r="G1306" s="5" t="str">
        <f>_xlfn.XLOOKUP(B1306,[1]!Tabela1[[Cidades ]],[1]!Tabela1[Regional],0,0,1)</f>
        <v>Magno</v>
      </c>
      <c r="H1306" s="8" t="str">
        <f>_xlfn.XLOOKUP(B1306,[1]!Tabela1[[Cidades ]],[1]!Tabela1[Gerente],0,0,1)</f>
        <v>Demais coordenadores</v>
      </c>
    </row>
    <row r="1307" spans="1:8" x14ac:dyDescent="0.3">
      <c r="A1307" s="9" t="s">
        <v>1478</v>
      </c>
      <c r="B1307" s="10" t="s">
        <v>53</v>
      </c>
      <c r="C1307" s="11">
        <v>45839</v>
      </c>
      <c r="D1307" s="12">
        <v>692744</v>
      </c>
      <c r="E1307" s="5" t="str">
        <f>_xlfn.XLOOKUP(D1307,[1]!Tabela24[Código consultor],[1]!Tabela24[Consultor Venda],0,0,1)</f>
        <v>CORP - SOC - ANDERSON LUNA DOS SANTOS</v>
      </c>
      <c r="F1307" s="5" t="str">
        <f>_xlfn.XLOOKUP(D1307,[1]!Tabela24[Código consultor],[1]!Tabela24[Canal Consultor],0,0,1)</f>
        <v>CORPORATIVO</v>
      </c>
      <c r="G1307" s="10" t="str">
        <f>_xlfn.XLOOKUP(B1307,[1]!Tabela1[[Cidades ]],[1]!Tabela1[Regional],0,0,1)</f>
        <v>Adilson</v>
      </c>
      <c r="H1307" s="13" t="str">
        <f>_xlfn.XLOOKUP(B1307,[1]!Tabela1[[Cidades ]],[1]!Tabela1[Gerente],0,0,1)</f>
        <v>Demais coordenadores</v>
      </c>
    </row>
    <row r="1308" spans="1:8" x14ac:dyDescent="0.3">
      <c r="A1308" s="4" t="s">
        <v>1480</v>
      </c>
      <c r="B1308" s="5" t="s">
        <v>33</v>
      </c>
      <c r="C1308" s="6">
        <v>45839</v>
      </c>
      <c r="D1308" s="7">
        <v>788656</v>
      </c>
      <c r="E1308" s="5" t="str">
        <f>_xlfn.XLOOKUP(D1308,[1]!Tabela24[Código consultor],[1]!Tabela24[Consultor Venda],0,0,1)</f>
        <v>PAR - STB - PAP - JOY TELECOM - GABRIELA ALVES DE GODOY</v>
      </c>
      <c r="F1308" s="5" t="str">
        <f>_xlfn.XLOOKUP(D1308,[1]!Tabela24[Código consultor],[1]!Tabela24[Canal Consultor],0,0,1)</f>
        <v>PAR_DIG</v>
      </c>
      <c r="G1308" s="5" t="str">
        <f>_xlfn.XLOOKUP(B1308,[1]!Tabela1[[Cidades ]],[1]!Tabela1[Regional],0,0,1)</f>
        <v>Maycon</v>
      </c>
      <c r="H1308" s="8" t="str">
        <f>_xlfn.XLOOKUP(B1308,[1]!Tabela1[[Cidades ]],[1]!Tabela1[Gerente],0,0,1)</f>
        <v>Demais coordenadores</v>
      </c>
    </row>
    <row r="1309" spans="1:8" x14ac:dyDescent="0.3">
      <c r="A1309" s="9" t="s">
        <v>1485</v>
      </c>
      <c r="B1309" s="10" t="s">
        <v>19</v>
      </c>
      <c r="C1309" s="11">
        <v>45839</v>
      </c>
      <c r="D1309" s="12">
        <v>767508</v>
      </c>
      <c r="E1309" s="5" t="str">
        <f>_xlfn.XLOOKUP(D1309,[1]!Tabela24[Código consultor],[1]!Tabela24[Consultor Venda],0,0,1)</f>
        <v>COM - CAN - JULIANA DA SILVA ASSUNCAO</v>
      </c>
      <c r="F1309" s="5" t="str">
        <f>_xlfn.XLOOKUP(D1309,[1]!Tabela24[Código consultor],[1]!Tabela24[Canal Consultor],0,0,1)</f>
        <v>Pap</v>
      </c>
      <c r="G1309" s="10" t="str">
        <f>_xlfn.XLOOKUP(B1309,[1]!Tabela1[[Cidades ]],[1]!Tabela1[Regional],0,0,1)</f>
        <v>Magno</v>
      </c>
      <c r="H1309" s="13" t="str">
        <f>_xlfn.XLOOKUP(B1309,[1]!Tabela1[[Cidades ]],[1]!Tabela1[Gerente],0,0,1)</f>
        <v>Demais coordenadores</v>
      </c>
    </row>
    <row r="1310" spans="1:8" x14ac:dyDescent="0.3">
      <c r="A1310" s="4" t="s">
        <v>1486</v>
      </c>
      <c r="B1310" s="5" t="s">
        <v>22</v>
      </c>
      <c r="C1310" s="6">
        <v>45839</v>
      </c>
      <c r="D1310" s="7">
        <v>736256</v>
      </c>
      <c r="E1310" s="5" t="str">
        <f>_xlfn.XLOOKUP(D1310,[1]!Tabela24[Código consultor],[1]!Tabela24[Consultor Venda],0,0,1)</f>
        <v>COM - SCR - JANICE CRISTINA RODRIGUES</v>
      </c>
      <c r="F1310" s="5" t="str">
        <f>_xlfn.XLOOKUP(D1310,[1]!Tabela24[Código consultor],[1]!Tabela24[Canal Consultor],0,0,1)</f>
        <v>INTERNO</v>
      </c>
      <c r="G1310" s="5" t="str">
        <f>_xlfn.XLOOKUP(B1310,[1]!Tabela1[[Cidades ]],[1]!Tabela1[Regional],0,0,1)</f>
        <v>Magno</v>
      </c>
      <c r="H1310" s="8" t="str">
        <f>_xlfn.XLOOKUP(B1310,[1]!Tabela1[[Cidades ]],[1]!Tabela1[Gerente],0,0,1)</f>
        <v>Demais coordenadores</v>
      </c>
    </row>
    <row r="1311" spans="1:8" x14ac:dyDescent="0.3">
      <c r="A1311" s="9" t="s">
        <v>1487</v>
      </c>
      <c r="B1311" s="10" t="s">
        <v>15</v>
      </c>
      <c r="C1311" s="11">
        <v>45839</v>
      </c>
      <c r="D1311" s="12">
        <v>857350</v>
      </c>
      <c r="E1311" s="5" t="str">
        <f>_xlfn.XLOOKUP(D1311,[1]!Tabela24[Código consultor],[1]!Tabela24[Consultor Venda],0,0,1)</f>
        <v>COM - FNS - BRUNO CAUA ALVES PADILHA</v>
      </c>
      <c r="F1311" s="5" t="str">
        <f>_xlfn.XLOOKUP(D1311,[1]!Tabela24[Código consultor],[1]!Tabela24[Canal Consultor],0,0,1)</f>
        <v>Pap</v>
      </c>
      <c r="G1311" s="10" t="str">
        <f>_xlfn.XLOOKUP(B1311,[1]!Tabela1[[Cidades ]],[1]!Tabela1[Regional],0,0,1)</f>
        <v>Marcio</v>
      </c>
      <c r="H1311" s="13" t="str">
        <f>_xlfn.XLOOKUP(B1311,[1]!Tabela1[[Cidades ]],[1]!Tabela1[Gerente],0,0,1)</f>
        <v>Demais coordenadores</v>
      </c>
    </row>
    <row r="1312" spans="1:8" x14ac:dyDescent="0.3">
      <c r="A1312" s="4" t="s">
        <v>1488</v>
      </c>
      <c r="B1312" s="5" t="s">
        <v>22</v>
      </c>
      <c r="C1312" s="6">
        <v>45839</v>
      </c>
      <c r="D1312" s="7">
        <v>884801</v>
      </c>
      <c r="E1312" s="5" t="str">
        <f>_xlfn.XLOOKUP(D1312,[1]!Tabela24[Código consultor],[1]!Tabela24[Consultor Venda],0,0,1)</f>
        <v>COM - SCR - JOAO UALISON DOS SANTOS SIMIANER</v>
      </c>
      <c r="F1312" s="5" t="str">
        <f>_xlfn.XLOOKUP(D1312,[1]!Tabela24[Código consultor],[1]!Tabela24[Canal Consultor],0,0,1)</f>
        <v>INTERNO</v>
      </c>
      <c r="G1312" s="5" t="str">
        <f>_xlfn.XLOOKUP(B1312,[1]!Tabela1[[Cidades ]],[1]!Tabela1[Regional],0,0,1)</f>
        <v>Magno</v>
      </c>
      <c r="H1312" s="8" t="str">
        <f>_xlfn.XLOOKUP(B1312,[1]!Tabela1[[Cidades ]],[1]!Tabela1[Gerente],0,0,1)</f>
        <v>Demais coordenadores</v>
      </c>
    </row>
    <row r="1313" spans="1:8" x14ac:dyDescent="0.3">
      <c r="A1313" s="9" t="s">
        <v>1489</v>
      </c>
      <c r="B1313" s="10" t="s">
        <v>23</v>
      </c>
      <c r="C1313" s="11">
        <v>45839</v>
      </c>
      <c r="D1313" s="12">
        <v>880152</v>
      </c>
      <c r="E1313" s="5" t="str">
        <f>_xlfn.XLOOKUP(D1313,[1]!Tabela24[Código consultor],[1]!Tabela24[Consultor Venda],0,0,1)</f>
        <v>COM - CAN - JHULIANA FREITAS SCHMACHTENBERG</v>
      </c>
      <c r="F1313" s="5" t="str">
        <f>_xlfn.XLOOKUP(D1313,[1]!Tabela24[Código consultor],[1]!Tabela24[Canal Consultor],0,0,1)</f>
        <v>INTERNO</v>
      </c>
      <c r="G1313" s="10" t="str">
        <f>_xlfn.XLOOKUP(B1313,[1]!Tabela1[[Cidades ]],[1]!Tabela1[Regional],0,0,1)</f>
        <v>Magno</v>
      </c>
      <c r="H1313" s="13" t="str">
        <f>_xlfn.XLOOKUP(B1313,[1]!Tabela1[[Cidades ]],[1]!Tabela1[Gerente],0,0,1)</f>
        <v>Demais coordenadores</v>
      </c>
    </row>
    <row r="1314" spans="1:8" x14ac:dyDescent="0.3">
      <c r="A1314" s="4" t="s">
        <v>1490</v>
      </c>
      <c r="B1314" s="5" t="s">
        <v>15</v>
      </c>
      <c r="C1314" s="6">
        <v>45839</v>
      </c>
      <c r="D1314" s="7">
        <v>878856</v>
      </c>
      <c r="E1314" s="5" t="str">
        <f>_xlfn.XLOOKUP(D1314,[1]!Tabela24[Código consultor],[1]!Tabela24[Consultor Venda],0,0,1)</f>
        <v>COM - NVG - CAMILLA MORTON FREIER</v>
      </c>
      <c r="F1314" s="5" t="str">
        <f>_xlfn.XLOOKUP(D1314,[1]!Tabela24[Código consultor],[1]!Tabela24[Canal Consultor],0,0,1)</f>
        <v>Pap</v>
      </c>
      <c r="G1314" s="5" t="str">
        <f>_xlfn.XLOOKUP(B1314,[1]!Tabela1[[Cidades ]],[1]!Tabela1[Regional],0,0,1)</f>
        <v>Marcio</v>
      </c>
      <c r="H1314" s="8" t="str">
        <f>_xlfn.XLOOKUP(B1314,[1]!Tabela1[[Cidades ]],[1]!Tabela1[Gerente],0,0,1)</f>
        <v>Demais coordenadores</v>
      </c>
    </row>
    <row r="1315" spans="1:8" x14ac:dyDescent="0.3">
      <c r="A1315" s="9" t="s">
        <v>1492</v>
      </c>
      <c r="B1315" s="10" t="s">
        <v>31</v>
      </c>
      <c r="C1315" s="11">
        <v>45839</v>
      </c>
      <c r="D1315" s="12">
        <v>788656</v>
      </c>
      <c r="E1315" s="5" t="str">
        <f>_xlfn.XLOOKUP(D1315,[1]!Tabela24[Código consultor],[1]!Tabela24[Consultor Venda],0,0,1)</f>
        <v>PAR - STB - PAP - JOY TELECOM - GABRIELA ALVES DE GODOY</v>
      </c>
      <c r="F1315" s="5" t="str">
        <f>_xlfn.XLOOKUP(D1315,[1]!Tabela24[Código consultor],[1]!Tabela24[Canal Consultor],0,0,1)</f>
        <v>PAR_DIG</v>
      </c>
      <c r="G1315" s="10" t="str">
        <f>_xlfn.XLOOKUP(B1315,[1]!Tabela1[[Cidades ]],[1]!Tabela1[Regional],0,0,1)</f>
        <v>Maycon</v>
      </c>
      <c r="H1315" s="13" t="str">
        <f>_xlfn.XLOOKUP(B1315,[1]!Tabela1[[Cidades ]],[1]!Tabela1[Gerente],0,0,1)</f>
        <v>Demais coordenadores</v>
      </c>
    </row>
    <row r="1316" spans="1:8" x14ac:dyDescent="0.3">
      <c r="A1316" s="4" t="s">
        <v>1494</v>
      </c>
      <c r="B1316" s="5" t="s">
        <v>74</v>
      </c>
      <c r="C1316" s="6">
        <v>45839</v>
      </c>
      <c r="D1316" s="7">
        <v>859994</v>
      </c>
      <c r="E1316" s="5" t="str">
        <f>_xlfn.XLOOKUP(D1316,[1]!Tabela24[Código consultor],[1]!Tabela24[Consultor Venda],0,0,1)</f>
        <v>COM - SSL - TAIS TOMASZEVSKI BAPTISTA</v>
      </c>
      <c r="F1316" s="5" t="str">
        <f>_xlfn.XLOOKUP(D1316,[1]!Tabela24[Código consultor],[1]!Tabela24[Canal Consultor],0,0,1)</f>
        <v>INTERNO</v>
      </c>
      <c r="G1316" s="5" t="str">
        <f>_xlfn.XLOOKUP(B1316,[1]!Tabela1[[Cidades ]],[1]!Tabela1[Regional],0,0,1)</f>
        <v>Jean</v>
      </c>
      <c r="H1316" s="8" t="str">
        <f>_xlfn.XLOOKUP(B1316,[1]!Tabela1[[Cidades ]],[1]!Tabela1[Gerente],0,0,1)</f>
        <v>Demais coordenadores</v>
      </c>
    </row>
    <row r="1317" spans="1:8" x14ac:dyDescent="0.3">
      <c r="A1317" s="9" t="s">
        <v>1495</v>
      </c>
      <c r="B1317" s="10" t="s">
        <v>19</v>
      </c>
      <c r="C1317" s="11">
        <v>45839</v>
      </c>
      <c r="D1317" s="12">
        <v>827465</v>
      </c>
      <c r="E1317" s="5" t="str">
        <f>_xlfn.XLOOKUP(D1317,[1]!Tabela24[Código consultor],[1]!Tabela24[Consultor Venda],0,0,1)</f>
        <v>DIG - ATV - TAINARA RODRIGUES CORDEIRO</v>
      </c>
      <c r="F1317" s="5" t="str">
        <f>_xlfn.XLOOKUP(D1317,[1]!Tabela24[Código consultor],[1]!Tabela24[Canal Consultor],0,0,1)</f>
        <v>Televendas Ativo</v>
      </c>
      <c r="G1317" s="10" t="str">
        <f>_xlfn.XLOOKUP(B1317,[1]!Tabela1[[Cidades ]],[1]!Tabela1[Regional],0,0,1)</f>
        <v>Magno</v>
      </c>
      <c r="H1317" s="13" t="str">
        <f>_xlfn.XLOOKUP(B1317,[1]!Tabela1[[Cidades ]],[1]!Tabela1[Gerente],0,0,1)</f>
        <v>Demais coordenadores</v>
      </c>
    </row>
    <row r="1318" spans="1:8" x14ac:dyDescent="0.3">
      <c r="A1318" s="4" t="s">
        <v>1496</v>
      </c>
      <c r="B1318" s="5" t="s">
        <v>28</v>
      </c>
      <c r="C1318" s="6">
        <v>45839</v>
      </c>
      <c r="D1318" s="7">
        <v>197832</v>
      </c>
      <c r="E1318" s="5" t="str">
        <f>_xlfn.XLOOKUP(D1318,[1]!Tabela24[Código consultor],[1]!Tabela24[Consultor Venda],0,0,1)</f>
        <v>DIG - CCO - RAIANE BERGAMIN</v>
      </c>
      <c r="F1318" s="5" t="str">
        <f>_xlfn.XLOOKUP(D1318,[1]!Tabela24[Código consultor],[1]!Tabela24[Canal Consultor],0,0,1)</f>
        <v>DIGITAL</v>
      </c>
      <c r="G1318" s="5" t="str">
        <f>_xlfn.XLOOKUP(B1318,[1]!Tabela1[[Cidades ]],[1]!Tabela1[Regional],0,0,1)</f>
        <v>Magno</v>
      </c>
      <c r="H1318" s="8" t="str">
        <f>_xlfn.XLOOKUP(B1318,[1]!Tabela1[[Cidades ]],[1]!Tabela1[Gerente],0,0,1)</f>
        <v>Demais coordenadores</v>
      </c>
    </row>
    <row r="1319" spans="1:8" x14ac:dyDescent="0.3">
      <c r="A1319" s="9" t="s">
        <v>1497</v>
      </c>
      <c r="B1319" s="10" t="s">
        <v>15</v>
      </c>
      <c r="C1319" s="11">
        <v>45839</v>
      </c>
      <c r="D1319" s="12">
        <v>382799</v>
      </c>
      <c r="E1319" s="5" t="str">
        <f>_xlfn.XLOOKUP(D1319,[1]!Tabela24[Código consultor],[1]!Tabela24[Consultor Venda],0,0,1)</f>
        <v>COM - NVG - MONICA GUERRA</v>
      </c>
      <c r="F1319" s="5" t="str">
        <f>_xlfn.XLOOKUP(D1319,[1]!Tabela24[Código consultor],[1]!Tabela24[Canal Consultor],0,0,1)</f>
        <v>INTERNO</v>
      </c>
      <c r="G1319" s="10" t="str">
        <f>_xlfn.XLOOKUP(B1319,[1]!Tabela1[[Cidades ]],[1]!Tabela1[Regional],0,0,1)</f>
        <v>Marcio</v>
      </c>
      <c r="H1319" s="13" t="str">
        <f>_xlfn.XLOOKUP(B1319,[1]!Tabela1[[Cidades ]],[1]!Tabela1[Gerente],0,0,1)</f>
        <v>Demais coordenadores</v>
      </c>
    </row>
    <row r="1320" spans="1:8" x14ac:dyDescent="0.3">
      <c r="A1320" s="4" t="s">
        <v>1499</v>
      </c>
      <c r="B1320" s="5" t="s">
        <v>98</v>
      </c>
      <c r="C1320" s="6">
        <v>45839</v>
      </c>
      <c r="D1320" s="7">
        <v>788656</v>
      </c>
      <c r="E1320" s="5" t="str">
        <f>_xlfn.XLOOKUP(D1320,[1]!Tabela24[Código consultor],[1]!Tabela24[Consultor Venda],0,0,1)</f>
        <v>PAR - STB - PAP - JOY TELECOM - GABRIELA ALVES DE GODOY</v>
      </c>
      <c r="F1320" s="5" t="str">
        <f>_xlfn.XLOOKUP(D1320,[1]!Tabela24[Código consultor],[1]!Tabela24[Canal Consultor],0,0,1)</f>
        <v>PAR_DIG</v>
      </c>
      <c r="G1320" s="5" t="str">
        <f>_xlfn.XLOOKUP(B1320,[1]!Tabela1[[Cidades ]],[1]!Tabela1[Regional],0,0,1)</f>
        <v>Jean</v>
      </c>
      <c r="H1320" s="8" t="str">
        <f>_xlfn.XLOOKUP(B1320,[1]!Tabela1[[Cidades ]],[1]!Tabela1[Gerente],0,0,1)</f>
        <v>Demais coordenadores</v>
      </c>
    </row>
    <row r="1321" spans="1:8" x14ac:dyDescent="0.3">
      <c r="A1321" s="9" t="s">
        <v>1500</v>
      </c>
      <c r="B1321" s="10" t="s">
        <v>55</v>
      </c>
      <c r="C1321" s="11">
        <v>45839</v>
      </c>
      <c r="D1321" s="12">
        <v>822704</v>
      </c>
      <c r="E1321" s="5" t="str">
        <f>_xlfn.XLOOKUP(D1321,[1]!Tabela24[Código consultor],[1]!Tabela24[Consultor Venda],0,0,1)</f>
        <v>PAR - PAP - V S MONTEIRO - VINICIUS SILVA MONTEIRO</v>
      </c>
      <c r="F1321" s="5" t="str">
        <f>_xlfn.XLOOKUP(D1321,[1]!Tabela24[Código consultor],[1]!Tabela24[Canal Consultor],0,0,1)</f>
        <v>PAR</v>
      </c>
      <c r="G1321" s="10" t="str">
        <f>_xlfn.XLOOKUP(B1321,[1]!Tabela1[[Cidades ]],[1]!Tabela1[Regional],0,0,1)</f>
        <v>Maycon</v>
      </c>
      <c r="H1321" s="13" t="str">
        <f>_xlfn.XLOOKUP(B1321,[1]!Tabela1[[Cidades ]],[1]!Tabela1[Gerente],0,0,1)</f>
        <v>Demais coordenadores</v>
      </c>
    </row>
    <row r="1322" spans="1:8" x14ac:dyDescent="0.3">
      <c r="A1322" s="4" t="s">
        <v>1502</v>
      </c>
      <c r="B1322" s="5" t="s">
        <v>22</v>
      </c>
      <c r="C1322" s="6">
        <v>45839</v>
      </c>
      <c r="D1322" s="7">
        <v>617463</v>
      </c>
      <c r="E1322" s="5" t="str">
        <f>_xlfn.XLOOKUP(D1322,[1]!Tabela24[Código consultor],[1]!Tabela24[Consultor Venda],0,0,1)</f>
        <v>DIG - CCO - ALEX AUGUSTO DA CRUZ RODRIGUES</v>
      </c>
      <c r="F1322" s="5" t="str">
        <f>_xlfn.XLOOKUP(D1322,[1]!Tabela24[Código consultor],[1]!Tabela24[Canal Consultor],0,0,1)</f>
        <v>DIGITAL</v>
      </c>
      <c r="G1322" s="5" t="str">
        <f>_xlfn.XLOOKUP(B1322,[1]!Tabela1[[Cidades ]],[1]!Tabela1[Regional],0,0,1)</f>
        <v>Magno</v>
      </c>
      <c r="H1322" s="8" t="str">
        <f>_xlfn.XLOOKUP(B1322,[1]!Tabela1[[Cidades ]],[1]!Tabela1[Gerente],0,0,1)</f>
        <v>Demais coordenadores</v>
      </c>
    </row>
    <row r="1323" spans="1:8" x14ac:dyDescent="0.3">
      <c r="A1323" s="9" t="s">
        <v>1503</v>
      </c>
      <c r="B1323" s="10" t="s">
        <v>34</v>
      </c>
      <c r="C1323" s="11">
        <v>45839</v>
      </c>
      <c r="D1323" s="12">
        <v>788656</v>
      </c>
      <c r="E1323" s="5" t="str">
        <f>_xlfn.XLOOKUP(D1323,[1]!Tabela24[Código consultor],[1]!Tabela24[Consultor Venda],0,0,1)</f>
        <v>PAR - STB - PAP - JOY TELECOM - GABRIELA ALVES DE GODOY</v>
      </c>
      <c r="F1323" s="5" t="str">
        <f>_xlfn.XLOOKUP(D1323,[1]!Tabela24[Código consultor],[1]!Tabela24[Canal Consultor],0,0,1)</f>
        <v>PAR_DIG</v>
      </c>
      <c r="G1323" s="10" t="str">
        <f>_xlfn.XLOOKUP(B1323,[1]!Tabela1[[Cidades ]],[1]!Tabela1[Regional],0,0,1)</f>
        <v>Alisson</v>
      </c>
      <c r="H1323" s="13" t="str">
        <f>_xlfn.XLOOKUP(B1323,[1]!Tabela1[[Cidades ]],[1]!Tabela1[Gerente],0,0,1)</f>
        <v>Karine</v>
      </c>
    </row>
    <row r="1324" spans="1:8" x14ac:dyDescent="0.3">
      <c r="A1324" s="4" t="s">
        <v>1506</v>
      </c>
      <c r="B1324" s="5" t="s">
        <v>28</v>
      </c>
      <c r="C1324" s="6">
        <v>45839</v>
      </c>
      <c r="D1324" s="7">
        <v>617463</v>
      </c>
      <c r="E1324" s="5" t="str">
        <f>_xlfn.XLOOKUP(D1324,[1]!Tabela24[Código consultor],[1]!Tabela24[Consultor Venda],0,0,1)</f>
        <v>DIG - CCO - ALEX AUGUSTO DA CRUZ RODRIGUES</v>
      </c>
      <c r="F1324" s="5" t="str">
        <f>_xlfn.XLOOKUP(D1324,[1]!Tabela24[Código consultor],[1]!Tabela24[Canal Consultor],0,0,1)</f>
        <v>DIGITAL</v>
      </c>
      <c r="G1324" s="5" t="str">
        <f>_xlfn.XLOOKUP(B1324,[1]!Tabela1[[Cidades ]],[1]!Tabela1[Regional],0,0,1)</f>
        <v>Magno</v>
      </c>
      <c r="H1324" s="8" t="str">
        <f>_xlfn.XLOOKUP(B1324,[1]!Tabela1[[Cidades ]],[1]!Tabela1[Gerente],0,0,1)</f>
        <v>Demais coordenadores</v>
      </c>
    </row>
    <row r="1325" spans="1:8" x14ac:dyDescent="0.3">
      <c r="A1325" s="9" t="s">
        <v>1507</v>
      </c>
      <c r="B1325" s="10" t="s">
        <v>12</v>
      </c>
      <c r="C1325" s="11">
        <v>45839</v>
      </c>
      <c r="D1325" s="12">
        <v>617463</v>
      </c>
      <c r="E1325" s="5" t="str">
        <f>_xlfn.XLOOKUP(D1325,[1]!Tabela24[Código consultor],[1]!Tabela24[Consultor Venda],0,0,1)</f>
        <v>DIG - CCO - ALEX AUGUSTO DA CRUZ RODRIGUES</v>
      </c>
      <c r="F1325" s="5" t="str">
        <f>_xlfn.XLOOKUP(D1325,[1]!Tabela24[Código consultor],[1]!Tabela24[Canal Consultor],0,0,1)</f>
        <v>DIGITAL</v>
      </c>
      <c r="G1325" s="10" t="str">
        <f>_xlfn.XLOOKUP(B1325,[1]!Tabela1[[Cidades ]],[1]!Tabela1[Regional],0,0,1)</f>
        <v>Jean</v>
      </c>
      <c r="H1325" s="13" t="str">
        <f>_xlfn.XLOOKUP(B1325,[1]!Tabela1[[Cidades ]],[1]!Tabela1[Gerente],0,0,1)</f>
        <v>Demais coordenadores</v>
      </c>
    </row>
    <row r="1326" spans="1:8" x14ac:dyDescent="0.3">
      <c r="A1326" s="4" t="s">
        <v>1510</v>
      </c>
      <c r="B1326" s="5" t="s">
        <v>23</v>
      </c>
      <c r="C1326" s="6">
        <v>45839</v>
      </c>
      <c r="D1326" s="7">
        <v>878638</v>
      </c>
      <c r="E1326" s="5" t="str">
        <f>_xlfn.XLOOKUP(D1326,[1]!Tabela24[Código consultor],[1]!Tabela24[Consultor Venda],0,0,1)</f>
        <v>COM - CAN - STEPHANI CRISTINA DUARTE BENITES</v>
      </c>
      <c r="F1326" s="5" t="str">
        <f>_xlfn.XLOOKUP(D1326,[1]!Tabela24[Código consultor],[1]!Tabela24[Canal Consultor],0,0,1)</f>
        <v>Pap</v>
      </c>
      <c r="G1326" s="5" t="str">
        <f>_xlfn.XLOOKUP(B1326,[1]!Tabela1[[Cidades ]],[1]!Tabela1[Regional],0,0,1)</f>
        <v>Magno</v>
      </c>
      <c r="H1326" s="8" t="str">
        <f>_xlfn.XLOOKUP(B1326,[1]!Tabela1[[Cidades ]],[1]!Tabela1[Gerente],0,0,1)</f>
        <v>Demais coordenadores</v>
      </c>
    </row>
    <row r="1327" spans="1:8" x14ac:dyDescent="0.3">
      <c r="A1327" s="9" t="s">
        <v>1511</v>
      </c>
      <c r="B1327" s="10" t="s">
        <v>15</v>
      </c>
      <c r="C1327" s="11">
        <v>45839</v>
      </c>
      <c r="D1327" s="12">
        <v>824664</v>
      </c>
      <c r="E1327" s="5" t="str">
        <f>_xlfn.XLOOKUP(D1327,[1]!Tabela24[Código consultor],[1]!Tabela24[Consultor Venda],0,0,1)</f>
        <v>JOAO PEDRO DE CASTRO TRENTIN</v>
      </c>
      <c r="F1327" s="5" t="str">
        <f>_xlfn.XLOOKUP(D1327,[1]!Tabela24[Código consultor],[1]!Tabela24[Canal Consultor],0,0,1)</f>
        <v>Pap</v>
      </c>
      <c r="G1327" s="10" t="str">
        <f>_xlfn.XLOOKUP(B1327,[1]!Tabela1[[Cidades ]],[1]!Tabela1[Regional],0,0,1)</f>
        <v>Marcio</v>
      </c>
      <c r="H1327" s="13" t="str">
        <f>_xlfn.XLOOKUP(B1327,[1]!Tabela1[[Cidades ]],[1]!Tabela1[Gerente],0,0,1)</f>
        <v>Demais coordenadores</v>
      </c>
    </row>
    <row r="1328" spans="1:8" x14ac:dyDescent="0.3">
      <c r="A1328" s="4" t="s">
        <v>1513</v>
      </c>
      <c r="B1328" s="5" t="s">
        <v>23</v>
      </c>
      <c r="C1328" s="6">
        <v>45839</v>
      </c>
      <c r="D1328" s="7">
        <v>827985</v>
      </c>
      <c r="E1328" s="5" t="str">
        <f>_xlfn.XLOOKUP(D1328,[1]!Tabela24[Código consultor],[1]!Tabela24[Consultor Venda],0,0,1)</f>
        <v>COM - GTI - KELLEN SANTOS IOHANN</v>
      </c>
      <c r="F1328" s="5" t="str">
        <f>_xlfn.XLOOKUP(D1328,[1]!Tabela24[Código consultor],[1]!Tabela24[Canal Consultor],0,0,1)</f>
        <v>Pap</v>
      </c>
      <c r="G1328" s="5" t="str">
        <f>_xlfn.XLOOKUP(B1328,[1]!Tabela1[[Cidades ]],[1]!Tabela1[Regional],0,0,1)</f>
        <v>Magno</v>
      </c>
      <c r="H1328" s="8" t="str">
        <f>_xlfn.XLOOKUP(B1328,[1]!Tabela1[[Cidades ]],[1]!Tabela1[Gerente],0,0,1)</f>
        <v>Demais coordenadores</v>
      </c>
    </row>
    <row r="1329" spans="1:8" x14ac:dyDescent="0.3">
      <c r="A1329" s="9" t="s">
        <v>1514</v>
      </c>
      <c r="B1329" s="10" t="s">
        <v>32</v>
      </c>
      <c r="C1329" s="11">
        <v>45839</v>
      </c>
      <c r="D1329" s="12">
        <v>576121</v>
      </c>
      <c r="E1329" s="5" t="str">
        <f>_xlfn.XLOOKUP(D1329,[1]!Tabela24[Código consultor],[1]!Tabela24[Consultor Venda],0,0,1)</f>
        <v>COM - IGA - LEONARDO XAVIER GOMES</v>
      </c>
      <c r="F1329" s="5" t="str">
        <f>_xlfn.XLOOKUP(D1329,[1]!Tabela24[Código consultor],[1]!Tabela24[Canal Consultor],0,0,1)</f>
        <v>Pap</v>
      </c>
      <c r="G1329" s="10" t="str">
        <f>_xlfn.XLOOKUP(B1329,[1]!Tabela1[[Cidades ]],[1]!Tabela1[Regional],0,0,1)</f>
        <v>Jean</v>
      </c>
      <c r="H1329" s="13" t="str">
        <f>_xlfn.XLOOKUP(B1329,[1]!Tabela1[[Cidades ]],[1]!Tabela1[Gerente],0,0,1)</f>
        <v>Demais coordenadores</v>
      </c>
    </row>
    <row r="1330" spans="1:8" x14ac:dyDescent="0.3">
      <c r="A1330" s="4" t="s">
        <v>1517</v>
      </c>
      <c r="B1330" s="5" t="s">
        <v>74</v>
      </c>
      <c r="C1330" s="6">
        <v>45839</v>
      </c>
      <c r="D1330" s="7">
        <v>687168</v>
      </c>
      <c r="E1330" s="5" t="str">
        <f>_xlfn.XLOOKUP(D1330,[1]!Tabela24[Código consultor],[1]!Tabela24[Consultor Venda],0,0,1)</f>
        <v>COM - SSL - PAMELA BUGAY KUPZIK</v>
      </c>
      <c r="F1330" s="5" t="str">
        <f>_xlfn.XLOOKUP(D1330,[1]!Tabela24[Código consultor],[1]!Tabela24[Canal Consultor],0,0,1)</f>
        <v>INTERNO</v>
      </c>
      <c r="G1330" s="5" t="str">
        <f>_xlfn.XLOOKUP(B1330,[1]!Tabela1[[Cidades ]],[1]!Tabela1[Regional],0,0,1)</f>
        <v>Jean</v>
      </c>
      <c r="H1330" s="8" t="str">
        <f>_xlfn.XLOOKUP(B1330,[1]!Tabela1[[Cidades ]],[1]!Tabela1[Gerente],0,0,1)</f>
        <v>Demais coordenadores</v>
      </c>
    </row>
    <row r="1331" spans="1:8" x14ac:dyDescent="0.3">
      <c r="A1331" s="9" t="s">
        <v>1518</v>
      </c>
      <c r="B1331" s="10" t="s">
        <v>53</v>
      </c>
      <c r="C1331" s="11">
        <v>45839</v>
      </c>
      <c r="D1331" s="12">
        <v>235841</v>
      </c>
      <c r="E1331" s="5" t="str">
        <f>_xlfn.XLOOKUP(D1331,[1]!Tabela24[Código consultor],[1]!Tabela24[Consultor Venda],0,0,1)</f>
        <v>DIG - CCO - KAUANA BONI</v>
      </c>
      <c r="F1331" s="5" t="str">
        <f>_xlfn.XLOOKUP(D1331,[1]!Tabela24[Código consultor],[1]!Tabela24[Canal Consultor],0,0,1)</f>
        <v>DIGITAL</v>
      </c>
      <c r="G1331" s="10" t="str">
        <f>_xlfn.XLOOKUP(B1331,[1]!Tabela1[[Cidades ]],[1]!Tabela1[Regional],0,0,1)</f>
        <v>Adilson</v>
      </c>
      <c r="H1331" s="13" t="str">
        <f>_xlfn.XLOOKUP(B1331,[1]!Tabela1[[Cidades ]],[1]!Tabela1[Gerente],0,0,1)</f>
        <v>Demais coordenadores</v>
      </c>
    </row>
    <row r="1332" spans="1:8" x14ac:dyDescent="0.3">
      <c r="A1332" s="4" t="s">
        <v>1522</v>
      </c>
      <c r="B1332" s="5" t="s">
        <v>29</v>
      </c>
      <c r="C1332" s="6">
        <v>45839</v>
      </c>
      <c r="D1332" s="7">
        <v>810976</v>
      </c>
      <c r="E1332" s="5" t="str">
        <f>_xlfn.XLOOKUP(D1332,[1]!Tabela24[Código consultor],[1]!Tabela24[Consultor Venda],0,0,1)</f>
        <v>COM - TOO - TATIELLY DA COSTA SOARES</v>
      </c>
      <c r="F1332" s="5" t="str">
        <f>_xlfn.XLOOKUP(D1332,[1]!Tabela24[Código consultor],[1]!Tabela24[Canal Consultor],0,0,1)</f>
        <v>INTERNO</v>
      </c>
      <c r="G1332" s="5" t="str">
        <f>_xlfn.XLOOKUP(B1332,[1]!Tabela1[[Cidades ]],[1]!Tabela1[Regional],0,0,1)</f>
        <v>Adilson</v>
      </c>
      <c r="H1332" s="8" t="str">
        <f>_xlfn.XLOOKUP(B1332,[1]!Tabela1[[Cidades ]],[1]!Tabela1[Gerente],0,0,1)</f>
        <v>Demais coordenadores</v>
      </c>
    </row>
    <row r="1333" spans="1:8" x14ac:dyDescent="0.3">
      <c r="A1333" s="9" t="s">
        <v>1524</v>
      </c>
      <c r="B1333" s="10" t="s">
        <v>19</v>
      </c>
      <c r="C1333" s="11">
        <v>45839</v>
      </c>
      <c r="D1333" s="12">
        <v>683349</v>
      </c>
      <c r="E1333" s="5" t="str">
        <f>_xlfn.XLOOKUP(D1333,[1]!Tabela24[Código consultor],[1]!Tabela24[Consultor Venda],0,0,1)</f>
        <v>DIG - CCO - EVELLIN SALOA MAIA DA CONCEICAO</v>
      </c>
      <c r="F1333" s="5" t="str">
        <f>_xlfn.XLOOKUP(D1333,[1]!Tabela24[Código consultor],[1]!Tabela24[Canal Consultor],0,0,1)</f>
        <v>DIGITAL</v>
      </c>
      <c r="G1333" s="10" t="str">
        <f>_xlfn.XLOOKUP(B1333,[1]!Tabela1[[Cidades ]],[1]!Tabela1[Regional],0,0,1)</f>
        <v>Magno</v>
      </c>
      <c r="H1333" s="13" t="str">
        <f>_xlfn.XLOOKUP(B1333,[1]!Tabela1[[Cidades ]],[1]!Tabela1[Gerente],0,0,1)</f>
        <v>Demais coordenadores</v>
      </c>
    </row>
    <row r="1334" spans="1:8" x14ac:dyDescent="0.3">
      <c r="A1334" s="4" t="s">
        <v>1525</v>
      </c>
      <c r="B1334" s="5" t="s">
        <v>62</v>
      </c>
      <c r="C1334" s="6">
        <v>45839</v>
      </c>
      <c r="D1334" s="7">
        <v>811237</v>
      </c>
      <c r="E1334" s="5" t="str">
        <f>_xlfn.XLOOKUP(D1334,[1]!Tabela24[Código consultor],[1]!Tabela24[Consultor Venda],0,0,1)</f>
        <v>DIG - CCO - MAIKON JORDAN CHAVES DE QUADROS</v>
      </c>
      <c r="F1334" s="5" t="str">
        <f>_xlfn.XLOOKUP(D1334,[1]!Tabela24[Código consultor],[1]!Tabela24[Canal Consultor],0,0,1)</f>
        <v>DIGITAL</v>
      </c>
      <c r="G1334" s="5" t="str">
        <f>_xlfn.XLOOKUP(B1334,[1]!Tabela1[[Cidades ]],[1]!Tabela1[Regional],0,0,1)</f>
        <v>Adilson</v>
      </c>
      <c r="H1334" s="8" t="str">
        <f>_xlfn.XLOOKUP(B1334,[1]!Tabela1[[Cidades ]],[1]!Tabela1[Gerente],0,0,1)</f>
        <v>Demais coordenadores</v>
      </c>
    </row>
    <row r="1335" spans="1:8" x14ac:dyDescent="0.3">
      <c r="A1335" s="9" t="s">
        <v>1526</v>
      </c>
      <c r="B1335" s="10" t="s">
        <v>23</v>
      </c>
      <c r="C1335" s="11">
        <v>45839</v>
      </c>
      <c r="D1335" s="12">
        <v>262147</v>
      </c>
      <c r="E1335" s="5" t="str">
        <f>_xlfn.XLOOKUP(D1335,[1]!Tabela24[Código consultor],[1]!Tabela24[Consultor Venda],0,0,1)</f>
        <v>COM - GTI - ALESANDRA PETRY BRAZEIRO</v>
      </c>
      <c r="F1335" s="5" t="str">
        <f>_xlfn.XLOOKUP(D1335,[1]!Tabela24[Código consultor],[1]!Tabela24[Canal Consultor],0,0,1)</f>
        <v>Pap</v>
      </c>
      <c r="G1335" s="10" t="str">
        <f>_xlfn.XLOOKUP(B1335,[1]!Tabela1[[Cidades ]],[1]!Tabela1[Regional],0,0,1)</f>
        <v>Magno</v>
      </c>
      <c r="H1335" s="13" t="str">
        <f>_xlfn.XLOOKUP(B1335,[1]!Tabela1[[Cidades ]],[1]!Tabela1[Gerente],0,0,1)</f>
        <v>Demais coordenadores</v>
      </c>
    </row>
    <row r="1336" spans="1:8" x14ac:dyDescent="0.3">
      <c r="A1336" s="4" t="s">
        <v>1527</v>
      </c>
      <c r="B1336" s="5" t="s">
        <v>66</v>
      </c>
      <c r="C1336" s="6">
        <v>45839</v>
      </c>
      <c r="D1336" s="7">
        <v>600710</v>
      </c>
      <c r="E1336" s="5" t="str">
        <f>_xlfn.XLOOKUP(D1336,[1]!Tabela24[Código consultor],[1]!Tabela24[Consultor Venda],0,0,1)</f>
        <v>DIG - CCO - BRUNA BALBINOTTI</v>
      </c>
      <c r="F1336" s="5" t="str">
        <f>_xlfn.XLOOKUP(D1336,[1]!Tabela24[Código consultor],[1]!Tabela24[Canal Consultor],0,0,1)</f>
        <v>DIGITAL</v>
      </c>
      <c r="G1336" s="5" t="str">
        <f>_xlfn.XLOOKUP(B1336,[1]!Tabela1[[Cidades ]],[1]!Tabela1[Regional],0,0,1)</f>
        <v>Marcio</v>
      </c>
      <c r="H1336" s="8" t="str">
        <f>_xlfn.XLOOKUP(B1336,[1]!Tabela1[[Cidades ]],[1]!Tabela1[Gerente],0,0,1)</f>
        <v>Demais coordenadores</v>
      </c>
    </row>
    <row r="1337" spans="1:8" x14ac:dyDescent="0.3">
      <c r="A1337" s="9" t="s">
        <v>1528</v>
      </c>
      <c r="B1337" s="10" t="s">
        <v>19</v>
      </c>
      <c r="C1337" s="11">
        <v>45839</v>
      </c>
      <c r="D1337" s="12">
        <v>878848</v>
      </c>
      <c r="E1337" s="5" t="str">
        <f>_xlfn.XLOOKUP(D1337,[1]!Tabela24[Código consultor],[1]!Tabela24[Consultor Venda],0,0,1)</f>
        <v>COM - CHN - MATHEUS ALFREDO MACEDO</v>
      </c>
      <c r="F1337" s="5" t="str">
        <f>_xlfn.XLOOKUP(D1337,[1]!Tabela24[Código consultor],[1]!Tabela24[Canal Consultor],0,0,1)</f>
        <v>Pap</v>
      </c>
      <c r="G1337" s="10" t="str">
        <f>_xlfn.XLOOKUP(B1337,[1]!Tabela1[[Cidades ]],[1]!Tabela1[Regional],0,0,1)</f>
        <v>Magno</v>
      </c>
      <c r="H1337" s="13" t="str">
        <f>_xlfn.XLOOKUP(B1337,[1]!Tabela1[[Cidades ]],[1]!Tabela1[Gerente],0,0,1)</f>
        <v>Demais coordenadores</v>
      </c>
    </row>
    <row r="1338" spans="1:8" x14ac:dyDescent="0.3">
      <c r="A1338" s="4" t="s">
        <v>1529</v>
      </c>
      <c r="B1338" s="5" t="s">
        <v>24</v>
      </c>
      <c r="C1338" s="6">
        <v>45839</v>
      </c>
      <c r="D1338" s="7">
        <v>877649</v>
      </c>
      <c r="E1338" s="5" t="str">
        <f>_xlfn.XLOOKUP(D1338,[1]!Tabela24[Código consultor],[1]!Tabela24[Consultor Venda],0,0,1)</f>
        <v>COM - SMA - NIKOLAS GUTERRES COMIN</v>
      </c>
      <c r="F1338" s="5" t="str">
        <f>_xlfn.XLOOKUP(D1338,[1]!Tabela24[Código consultor],[1]!Tabela24[Canal Consultor],0,0,1)</f>
        <v>Pap</v>
      </c>
      <c r="G1338" s="5" t="str">
        <f>_xlfn.XLOOKUP(B1338,[1]!Tabela1[[Cidades ]],[1]!Tabela1[Regional],0,0,1)</f>
        <v>Magno</v>
      </c>
      <c r="H1338" s="8" t="str">
        <f>_xlfn.XLOOKUP(B1338,[1]!Tabela1[[Cidades ]],[1]!Tabela1[Gerente],0,0,1)</f>
        <v>Demais coordenadores</v>
      </c>
    </row>
    <row r="1339" spans="1:8" x14ac:dyDescent="0.3">
      <c r="A1339" s="9" t="s">
        <v>1531</v>
      </c>
      <c r="B1339" s="10" t="s">
        <v>24</v>
      </c>
      <c r="C1339" s="11">
        <v>45839</v>
      </c>
      <c r="D1339" s="12">
        <v>870012</v>
      </c>
      <c r="E1339" s="5" t="str">
        <f>_xlfn.XLOOKUP(D1339,[1]!Tabela24[Código consultor],[1]!Tabela24[Consultor Venda],0,0,1)</f>
        <v>COM - SMA - LUIZ EDUARDO DOS SANTOS LOPES COLLARES</v>
      </c>
      <c r="F1339" s="5" t="str">
        <f>_xlfn.XLOOKUP(D1339,[1]!Tabela24[Código consultor],[1]!Tabela24[Canal Consultor],0,0,1)</f>
        <v>Pap</v>
      </c>
      <c r="G1339" s="10" t="str">
        <f>_xlfn.XLOOKUP(B1339,[1]!Tabela1[[Cidades ]],[1]!Tabela1[Regional],0,0,1)</f>
        <v>Magno</v>
      </c>
      <c r="H1339" s="13" t="str">
        <f>_xlfn.XLOOKUP(B1339,[1]!Tabela1[[Cidades ]],[1]!Tabela1[Gerente],0,0,1)</f>
        <v>Demais coordenadores</v>
      </c>
    </row>
    <row r="1340" spans="1:8" x14ac:dyDescent="0.3">
      <c r="A1340" s="4" t="s">
        <v>1532</v>
      </c>
      <c r="B1340" s="5" t="s">
        <v>28</v>
      </c>
      <c r="C1340" s="6">
        <v>45839</v>
      </c>
      <c r="D1340" s="7">
        <v>165769</v>
      </c>
      <c r="E1340" s="5" t="str">
        <f>_xlfn.XLOOKUP(D1340,[1]!Tabela24[Código consultor],[1]!Tabela24[Consultor Venda],0,0,1)</f>
        <v>PAR - PAP - GTI - THALIA SP - THALIA DA SILVA PEREIRA</v>
      </c>
      <c r="F1340" s="5" t="str">
        <f>_xlfn.XLOOKUP(D1340,[1]!Tabela24[Código consultor],[1]!Tabela24[Canal Consultor],0,0,1)</f>
        <v>PAR</v>
      </c>
      <c r="G1340" s="5" t="str">
        <f>_xlfn.XLOOKUP(B1340,[1]!Tabela1[[Cidades ]],[1]!Tabela1[Regional],0,0,1)</f>
        <v>Magno</v>
      </c>
      <c r="H1340" s="8" t="str">
        <f>_xlfn.XLOOKUP(B1340,[1]!Tabela1[[Cidades ]],[1]!Tabela1[Gerente],0,0,1)</f>
        <v>Demais coordenadores</v>
      </c>
    </row>
    <row r="1341" spans="1:8" x14ac:dyDescent="0.3">
      <c r="A1341" s="9" t="s">
        <v>1533</v>
      </c>
      <c r="B1341" s="10" t="s">
        <v>79</v>
      </c>
      <c r="C1341" s="11">
        <v>45839</v>
      </c>
      <c r="D1341" s="12">
        <v>361</v>
      </c>
      <c r="E1341" s="5" t="str">
        <f>_xlfn.XLOOKUP(D1341,[1]!Tabela24[Código consultor],[1]!Tabela24[Consultor Venda],0,0,1)</f>
        <v>COM - LVH - DANIELA DE ALMEIDA</v>
      </c>
      <c r="F1341" s="5" t="str">
        <f>_xlfn.XLOOKUP(D1341,[1]!Tabela24[Código consultor],[1]!Tabela24[Canal Consultor],0,0,1)</f>
        <v>INTERNO</v>
      </c>
      <c r="G1341" s="10" t="str">
        <f>_xlfn.XLOOKUP(B1341,[1]!Tabela1[[Cidades ]],[1]!Tabela1[Regional],0,0,1)</f>
        <v>Alisson</v>
      </c>
      <c r="H1341" s="13" t="str">
        <f>_xlfn.XLOOKUP(B1341,[1]!Tabela1[[Cidades ]],[1]!Tabela1[Gerente],0,0,1)</f>
        <v>Tatiane</v>
      </c>
    </row>
    <row r="1342" spans="1:8" x14ac:dyDescent="0.3">
      <c r="A1342" s="4" t="s">
        <v>1534</v>
      </c>
      <c r="B1342" s="5" t="s">
        <v>23</v>
      </c>
      <c r="C1342" s="6">
        <v>45839</v>
      </c>
      <c r="D1342" s="7">
        <v>694166</v>
      </c>
      <c r="E1342" s="5" t="str">
        <f>_xlfn.XLOOKUP(D1342,[1]!Tabela24[Código consultor],[1]!Tabela24[Consultor Venda],0,0,1)</f>
        <v>DIG - CCO - CARINE CORREA SOARES</v>
      </c>
      <c r="F1342" s="5" t="str">
        <f>_xlfn.XLOOKUP(D1342,[1]!Tabela24[Código consultor],[1]!Tabela24[Canal Consultor],0,0,1)</f>
        <v>DIGITAL</v>
      </c>
      <c r="G1342" s="5" t="str">
        <f>_xlfn.XLOOKUP(B1342,[1]!Tabela1[[Cidades ]],[1]!Tabela1[Regional],0,0,1)</f>
        <v>Magno</v>
      </c>
      <c r="H1342" s="8" t="str">
        <f>_xlfn.XLOOKUP(B1342,[1]!Tabela1[[Cidades ]],[1]!Tabela1[Gerente],0,0,1)</f>
        <v>Demais coordenadores</v>
      </c>
    </row>
    <row r="1343" spans="1:8" x14ac:dyDescent="0.3">
      <c r="A1343" s="9" t="s">
        <v>1535</v>
      </c>
      <c r="B1343" s="10" t="s">
        <v>11</v>
      </c>
      <c r="C1343" s="11">
        <v>45839</v>
      </c>
      <c r="D1343" s="12">
        <v>882357</v>
      </c>
      <c r="E1343" s="5" t="str">
        <f>_xlfn.XLOOKUP(D1343,[1]!Tabela24[Código consultor],[1]!Tabela24[Consultor Venda],0,0,1)</f>
        <v>COM - GTI - CESAR ALFREDO MENSCH</v>
      </c>
      <c r="F1343" s="5" t="str">
        <f>_xlfn.XLOOKUP(D1343,[1]!Tabela24[Código consultor],[1]!Tabela24[Canal Consultor],0,0,1)</f>
        <v>Pap</v>
      </c>
      <c r="G1343" s="10" t="str">
        <f>_xlfn.XLOOKUP(B1343,[1]!Tabela1[[Cidades ]],[1]!Tabela1[Regional],0,0,1)</f>
        <v>Magno</v>
      </c>
      <c r="H1343" s="13" t="str">
        <f>_xlfn.XLOOKUP(B1343,[1]!Tabela1[[Cidades ]],[1]!Tabela1[Gerente],0,0,1)</f>
        <v>Demais coordenadores</v>
      </c>
    </row>
    <row r="1344" spans="1:8" x14ac:dyDescent="0.3">
      <c r="A1344" s="4" t="s">
        <v>1536</v>
      </c>
      <c r="B1344" s="5" t="s">
        <v>11</v>
      </c>
      <c r="C1344" s="6">
        <v>45839</v>
      </c>
      <c r="D1344" s="7">
        <v>683349</v>
      </c>
      <c r="E1344" s="5" t="str">
        <f>_xlfn.XLOOKUP(D1344,[1]!Tabela24[Código consultor],[1]!Tabela24[Consultor Venda],0,0,1)</f>
        <v>DIG - CCO - EVELLIN SALOA MAIA DA CONCEICAO</v>
      </c>
      <c r="F1344" s="5" t="str">
        <f>_xlfn.XLOOKUP(D1344,[1]!Tabela24[Código consultor],[1]!Tabela24[Canal Consultor],0,0,1)</f>
        <v>DIGITAL</v>
      </c>
      <c r="G1344" s="5" t="str">
        <f>_xlfn.XLOOKUP(B1344,[1]!Tabela1[[Cidades ]],[1]!Tabela1[Regional],0,0,1)</f>
        <v>Magno</v>
      </c>
      <c r="H1344" s="8" t="str">
        <f>_xlfn.XLOOKUP(B1344,[1]!Tabela1[[Cidades ]],[1]!Tabela1[Gerente],0,0,1)</f>
        <v>Demais coordenadores</v>
      </c>
    </row>
    <row r="1345" spans="1:8" x14ac:dyDescent="0.3">
      <c r="A1345" s="9" t="s">
        <v>1538</v>
      </c>
      <c r="B1345" s="10" t="s">
        <v>19</v>
      </c>
      <c r="C1345" s="11">
        <v>45839</v>
      </c>
      <c r="D1345" s="12">
        <v>262147</v>
      </c>
      <c r="E1345" s="5" t="str">
        <f>_xlfn.XLOOKUP(D1345,[1]!Tabela24[Código consultor],[1]!Tabela24[Consultor Venda],0,0,1)</f>
        <v>COM - GTI - ALESANDRA PETRY BRAZEIRO</v>
      </c>
      <c r="F1345" s="5" t="str">
        <f>_xlfn.XLOOKUP(D1345,[1]!Tabela24[Código consultor],[1]!Tabela24[Canal Consultor],0,0,1)</f>
        <v>Pap</v>
      </c>
      <c r="G1345" s="10" t="str">
        <f>_xlfn.XLOOKUP(B1345,[1]!Tabela1[[Cidades ]],[1]!Tabela1[Regional],0,0,1)</f>
        <v>Magno</v>
      </c>
      <c r="H1345" s="13" t="str">
        <f>_xlfn.XLOOKUP(B1345,[1]!Tabela1[[Cidades ]],[1]!Tabela1[Gerente],0,0,1)</f>
        <v>Demais coordenadores</v>
      </c>
    </row>
    <row r="1346" spans="1:8" x14ac:dyDescent="0.3">
      <c r="A1346" s="4" t="s">
        <v>1539</v>
      </c>
      <c r="B1346" s="5" t="s">
        <v>11</v>
      </c>
      <c r="C1346" s="6">
        <v>45839</v>
      </c>
      <c r="D1346" s="7">
        <v>882357</v>
      </c>
      <c r="E1346" s="5" t="str">
        <f>_xlfn.XLOOKUP(D1346,[1]!Tabela24[Código consultor],[1]!Tabela24[Consultor Venda],0,0,1)</f>
        <v>COM - GTI - CESAR ALFREDO MENSCH</v>
      </c>
      <c r="F1346" s="5" t="str">
        <f>_xlfn.XLOOKUP(D1346,[1]!Tabela24[Código consultor],[1]!Tabela24[Canal Consultor],0,0,1)</f>
        <v>Pap</v>
      </c>
      <c r="G1346" s="5" t="str">
        <f>_xlfn.XLOOKUP(B1346,[1]!Tabela1[[Cidades ]],[1]!Tabela1[Regional],0,0,1)</f>
        <v>Magno</v>
      </c>
      <c r="H1346" s="8" t="str">
        <f>_xlfn.XLOOKUP(B1346,[1]!Tabela1[[Cidades ]],[1]!Tabela1[Gerente],0,0,1)</f>
        <v>Demais coordenadores</v>
      </c>
    </row>
    <row r="1347" spans="1:8" x14ac:dyDescent="0.3">
      <c r="A1347" s="9" t="s">
        <v>1540</v>
      </c>
      <c r="B1347" s="10" t="s">
        <v>43</v>
      </c>
      <c r="C1347" s="11">
        <v>45839</v>
      </c>
      <c r="D1347" s="12">
        <v>858855</v>
      </c>
      <c r="E1347" s="5" t="str">
        <f>_xlfn.XLOOKUP(D1347,[1]!Tabela24[Código consultor],[1]!Tabela24[Consultor Venda],0,0,1)</f>
        <v>ADM - PGO - FERNANDO MIARA DE ALMEIDA</v>
      </c>
      <c r="F1347" s="5" t="str">
        <f>_xlfn.XLOOKUP(D1347,[1]!Tabela24[Código consultor],[1]!Tabela24[Canal Consultor],0,0,1)</f>
        <v>ADM Interno</v>
      </c>
      <c r="G1347" s="10" t="str">
        <f>_xlfn.XLOOKUP(B1347,[1]!Tabela1[[Cidades ]],[1]!Tabela1[Regional],0,0,1)</f>
        <v>Jean</v>
      </c>
      <c r="H1347" s="13" t="str">
        <f>_xlfn.XLOOKUP(B1347,[1]!Tabela1[[Cidades ]],[1]!Tabela1[Gerente],0,0,1)</f>
        <v>Demais coordenadores</v>
      </c>
    </row>
    <row r="1348" spans="1:8" x14ac:dyDescent="0.3">
      <c r="A1348" s="4" t="s">
        <v>1542</v>
      </c>
      <c r="B1348" s="5" t="s">
        <v>47</v>
      </c>
      <c r="C1348" s="6">
        <v>45839</v>
      </c>
      <c r="D1348" s="7">
        <v>788656</v>
      </c>
      <c r="E1348" s="5" t="str">
        <f>_xlfn.XLOOKUP(D1348,[1]!Tabela24[Código consultor],[1]!Tabela24[Consultor Venda],0,0,1)</f>
        <v>PAR - STB - PAP - JOY TELECOM - GABRIELA ALVES DE GODOY</v>
      </c>
      <c r="F1348" s="5" t="str">
        <f>_xlfn.XLOOKUP(D1348,[1]!Tabela24[Código consultor],[1]!Tabela24[Canal Consultor],0,0,1)</f>
        <v>PAR_DIG</v>
      </c>
      <c r="G1348" s="5" t="str">
        <f>_xlfn.XLOOKUP(B1348,[1]!Tabela1[[Cidades ]],[1]!Tabela1[Regional],0,0,1)</f>
        <v>Magno</v>
      </c>
      <c r="H1348" s="8" t="str">
        <f>_xlfn.XLOOKUP(B1348,[1]!Tabela1[[Cidades ]],[1]!Tabela1[Gerente],0,0,1)</f>
        <v>Demais coordenadores</v>
      </c>
    </row>
    <row r="1349" spans="1:8" x14ac:dyDescent="0.3">
      <c r="A1349" s="9" t="s">
        <v>1365</v>
      </c>
      <c r="B1349" s="10" t="s">
        <v>26</v>
      </c>
      <c r="C1349" s="11">
        <v>45839</v>
      </c>
      <c r="D1349" s="12">
        <v>876162</v>
      </c>
      <c r="E1349" s="5" t="str">
        <f>_xlfn.XLOOKUP(D1349,[1]!Tabela24[Código consultor],[1]!Tabela24[Consultor Venda],0,0,1)</f>
        <v>COM - CAN - PAULA VITORIA ELIAS VIEIRA</v>
      </c>
      <c r="F1349" s="5" t="str">
        <f>_xlfn.XLOOKUP(D1349,[1]!Tabela24[Código consultor],[1]!Tabela24[Canal Consultor],0,0,1)</f>
        <v>Pap</v>
      </c>
      <c r="G1349" s="10" t="str">
        <f>_xlfn.XLOOKUP(B1349,[1]!Tabela1[[Cidades ]],[1]!Tabela1[Regional],0,0,1)</f>
        <v>Magno</v>
      </c>
      <c r="H1349" s="13" t="str">
        <f>_xlfn.XLOOKUP(B1349,[1]!Tabela1[[Cidades ]],[1]!Tabela1[Gerente],0,0,1)</f>
        <v>Demais coordenadores</v>
      </c>
    </row>
    <row r="1350" spans="1:8" x14ac:dyDescent="0.3">
      <c r="A1350" s="4" t="s">
        <v>1546</v>
      </c>
      <c r="B1350" s="5" t="s">
        <v>36</v>
      </c>
      <c r="C1350" s="6">
        <v>45839</v>
      </c>
      <c r="D1350" s="7">
        <v>452920</v>
      </c>
      <c r="E1350" s="5" t="str">
        <f>_xlfn.XLOOKUP(D1350,[1]!Tabela24[Código consultor],[1]!Tabela24[Consultor Venda],0,0,1)</f>
        <v>COM - UMR - GUSTAVO HENRIQUE SPANCERSKI DOS SANTOS</v>
      </c>
      <c r="F1350" s="5" t="str">
        <f>_xlfn.XLOOKUP(D1350,[1]!Tabela24[Código consultor],[1]!Tabela24[Canal Consultor],0,0,1)</f>
        <v>INTERNO</v>
      </c>
      <c r="G1350" s="5" t="str">
        <f>_xlfn.XLOOKUP(B1350,[1]!Tabela1[[Cidades ]],[1]!Tabela1[Regional],0,0,1)</f>
        <v>Adilson</v>
      </c>
      <c r="H1350" s="8" t="str">
        <f>_xlfn.XLOOKUP(B1350,[1]!Tabela1[[Cidades ]],[1]!Tabela1[Gerente],0,0,1)</f>
        <v>Demais coordenadores</v>
      </c>
    </row>
    <row r="1351" spans="1:8" x14ac:dyDescent="0.3">
      <c r="A1351" s="9" t="s">
        <v>1547</v>
      </c>
      <c r="B1351" s="10" t="s">
        <v>10</v>
      </c>
      <c r="C1351" s="11">
        <v>45839</v>
      </c>
      <c r="D1351" s="12">
        <v>233138</v>
      </c>
      <c r="E1351" s="5" t="str">
        <f>_xlfn.XLOOKUP(D1351,[1]!Tabela24[Código consultor],[1]!Tabela24[Consultor Venda],0,0,1)</f>
        <v>PAR - INTE - GRP - MOBILE HD - ALINE KARNOSKI</v>
      </c>
      <c r="F1351" s="5" t="str">
        <f>_xlfn.XLOOKUP(D1351,[1]!Tabela24[Código consultor],[1]!Tabela24[Canal Consultor],0,0,1)</f>
        <v>PAR</v>
      </c>
      <c r="G1351" s="10" t="str">
        <f>_xlfn.XLOOKUP(B1351,[1]!Tabela1[[Cidades ]],[1]!Tabela1[Regional],0,0,1)</f>
        <v>Jean</v>
      </c>
      <c r="H1351" s="13" t="str">
        <f>_xlfn.XLOOKUP(B1351,[1]!Tabela1[[Cidades ]],[1]!Tabela1[Gerente],0,0,1)</f>
        <v>Demais coordenadores</v>
      </c>
    </row>
    <row r="1352" spans="1:8" x14ac:dyDescent="0.3">
      <c r="A1352" s="4" t="s">
        <v>1548</v>
      </c>
      <c r="B1352" s="5" t="s">
        <v>22</v>
      </c>
      <c r="C1352" s="6">
        <v>45839</v>
      </c>
      <c r="D1352" s="7">
        <v>736256</v>
      </c>
      <c r="E1352" s="5" t="str">
        <f>_xlfn.XLOOKUP(D1352,[1]!Tabela24[Código consultor],[1]!Tabela24[Consultor Venda],0,0,1)</f>
        <v>COM - SCR - JANICE CRISTINA RODRIGUES</v>
      </c>
      <c r="F1352" s="5" t="str">
        <f>_xlfn.XLOOKUP(D1352,[1]!Tabela24[Código consultor],[1]!Tabela24[Canal Consultor],0,0,1)</f>
        <v>INTERNO</v>
      </c>
      <c r="G1352" s="5" t="str">
        <f>_xlfn.XLOOKUP(B1352,[1]!Tabela1[[Cidades ]],[1]!Tabela1[Regional],0,0,1)</f>
        <v>Magno</v>
      </c>
      <c r="H1352" s="8" t="str">
        <f>_xlfn.XLOOKUP(B1352,[1]!Tabela1[[Cidades ]],[1]!Tabela1[Gerente],0,0,1)</f>
        <v>Demais coordenadores</v>
      </c>
    </row>
    <row r="1353" spans="1:8" x14ac:dyDescent="0.3">
      <c r="A1353" s="9" t="s">
        <v>1549</v>
      </c>
      <c r="B1353" s="10" t="s">
        <v>31</v>
      </c>
      <c r="C1353" s="11">
        <v>45839</v>
      </c>
      <c r="D1353" s="12">
        <v>666428</v>
      </c>
      <c r="E1353" s="5" t="str">
        <f>_xlfn.XLOOKUP(D1353,[1]!Tabela24[Código consultor],[1]!Tabela24[Consultor Venda],0,0,1)</f>
        <v>COM - CCO - ALESANDRA FRANCA CAMINERO</v>
      </c>
      <c r="F1353" s="5" t="str">
        <f>_xlfn.XLOOKUP(D1353,[1]!Tabela24[Código consultor],[1]!Tabela24[Canal Consultor],0,0,1)</f>
        <v>INTERNO</v>
      </c>
      <c r="G1353" s="10" t="str">
        <f>_xlfn.XLOOKUP(B1353,[1]!Tabela1[[Cidades ]],[1]!Tabela1[Regional],0,0,1)</f>
        <v>Maycon</v>
      </c>
      <c r="H1353" s="13" t="str">
        <f>_xlfn.XLOOKUP(B1353,[1]!Tabela1[[Cidades ]],[1]!Tabela1[Gerente],0,0,1)</f>
        <v>Demais coordenadores</v>
      </c>
    </row>
    <row r="1354" spans="1:8" x14ac:dyDescent="0.3">
      <c r="A1354" s="4" t="s">
        <v>1549</v>
      </c>
      <c r="B1354" s="5" t="s">
        <v>31</v>
      </c>
      <c r="C1354" s="6">
        <v>45839</v>
      </c>
      <c r="D1354" s="7">
        <v>666428</v>
      </c>
      <c r="E1354" s="5" t="str">
        <f>_xlfn.XLOOKUP(D1354,[1]!Tabela24[Código consultor],[1]!Tabela24[Consultor Venda],0,0,1)</f>
        <v>COM - CCO - ALESANDRA FRANCA CAMINERO</v>
      </c>
      <c r="F1354" s="5" t="str">
        <f>_xlfn.XLOOKUP(D1354,[1]!Tabela24[Código consultor],[1]!Tabela24[Canal Consultor],0,0,1)</f>
        <v>INTERNO</v>
      </c>
      <c r="G1354" s="5" t="str">
        <f>_xlfn.XLOOKUP(B1354,[1]!Tabela1[[Cidades ]],[1]!Tabela1[Regional],0,0,1)</f>
        <v>Maycon</v>
      </c>
      <c r="H1354" s="8" t="str">
        <f>_xlfn.XLOOKUP(B1354,[1]!Tabela1[[Cidades ]],[1]!Tabela1[Gerente],0,0,1)</f>
        <v>Demais coordenadores</v>
      </c>
    </row>
    <row r="1355" spans="1:8" x14ac:dyDescent="0.3">
      <c r="A1355" s="9" t="s">
        <v>1550</v>
      </c>
      <c r="B1355" s="10" t="s">
        <v>65</v>
      </c>
      <c r="C1355" s="11">
        <v>45839</v>
      </c>
      <c r="D1355" s="12">
        <v>617463</v>
      </c>
      <c r="E1355" s="5" t="str">
        <f>_xlfn.XLOOKUP(D1355,[1]!Tabela24[Código consultor],[1]!Tabela24[Consultor Venda],0,0,1)</f>
        <v>DIG - CCO - ALEX AUGUSTO DA CRUZ RODRIGUES</v>
      </c>
      <c r="F1355" s="5" t="str">
        <f>_xlfn.XLOOKUP(D1355,[1]!Tabela24[Código consultor],[1]!Tabela24[Canal Consultor],0,0,1)</f>
        <v>DIGITAL</v>
      </c>
      <c r="G1355" s="10" t="str">
        <f>_xlfn.XLOOKUP(B1355,[1]!Tabela1[[Cidades ]],[1]!Tabela1[Regional],0,0,1)</f>
        <v>Marcio</v>
      </c>
      <c r="H1355" s="13" t="str">
        <f>_xlfn.XLOOKUP(B1355,[1]!Tabela1[[Cidades ]],[1]!Tabela1[Gerente],0,0,1)</f>
        <v>Demais coordenadores</v>
      </c>
    </row>
    <row r="1356" spans="1:8" x14ac:dyDescent="0.3">
      <c r="A1356" s="4" t="s">
        <v>1551</v>
      </c>
      <c r="B1356" s="5" t="s">
        <v>19</v>
      </c>
      <c r="C1356" s="6">
        <v>45839</v>
      </c>
      <c r="D1356" s="7">
        <v>827465</v>
      </c>
      <c r="E1356" s="5" t="str">
        <f>_xlfn.XLOOKUP(D1356,[1]!Tabela24[Código consultor],[1]!Tabela24[Consultor Venda],0,0,1)</f>
        <v>DIG - ATV - TAINARA RODRIGUES CORDEIRO</v>
      </c>
      <c r="F1356" s="5" t="str">
        <f>_xlfn.XLOOKUP(D1356,[1]!Tabela24[Código consultor],[1]!Tabela24[Canal Consultor],0,0,1)</f>
        <v>Televendas Ativo</v>
      </c>
      <c r="G1356" s="5" t="str">
        <f>_xlfn.XLOOKUP(B1356,[1]!Tabela1[[Cidades ]],[1]!Tabela1[Regional],0,0,1)</f>
        <v>Magno</v>
      </c>
      <c r="H1356" s="8" t="str">
        <f>_xlfn.XLOOKUP(B1356,[1]!Tabela1[[Cidades ]],[1]!Tabela1[Gerente],0,0,1)</f>
        <v>Demais coordenadores</v>
      </c>
    </row>
    <row r="1357" spans="1:8" x14ac:dyDescent="0.3">
      <c r="A1357" s="9" t="s">
        <v>1552</v>
      </c>
      <c r="B1357" s="10" t="s">
        <v>23</v>
      </c>
      <c r="C1357" s="11">
        <v>45839</v>
      </c>
      <c r="D1357" s="12">
        <v>876162</v>
      </c>
      <c r="E1357" s="5" t="str">
        <f>_xlfn.XLOOKUP(D1357,[1]!Tabela24[Código consultor],[1]!Tabela24[Consultor Venda],0,0,1)</f>
        <v>COM - CAN - PAULA VITORIA ELIAS VIEIRA</v>
      </c>
      <c r="F1357" s="5" t="str">
        <f>_xlfn.XLOOKUP(D1357,[1]!Tabela24[Código consultor],[1]!Tabela24[Canal Consultor],0,0,1)</f>
        <v>Pap</v>
      </c>
      <c r="G1357" s="10" t="str">
        <f>_xlfn.XLOOKUP(B1357,[1]!Tabela1[[Cidades ]],[1]!Tabela1[Regional],0,0,1)</f>
        <v>Magno</v>
      </c>
      <c r="H1357" s="13" t="str">
        <f>_xlfn.XLOOKUP(B1357,[1]!Tabela1[[Cidades ]],[1]!Tabela1[Gerente],0,0,1)</f>
        <v>Demais coordenadores</v>
      </c>
    </row>
    <row r="1358" spans="1:8" x14ac:dyDescent="0.3">
      <c r="A1358" s="4" t="s">
        <v>1553</v>
      </c>
      <c r="B1358" s="5" t="s">
        <v>37</v>
      </c>
      <c r="C1358" s="6">
        <v>45839</v>
      </c>
      <c r="D1358" s="7">
        <v>881485</v>
      </c>
      <c r="E1358" s="5" t="str">
        <f>_xlfn.XLOOKUP(D1358,[1]!Tabela24[Código consultor],[1]!Tabela24[Consultor Venda],0,0,1)</f>
        <v>COM - SOC - ERICSSON CUNHA DE PAULA ANHAIA</v>
      </c>
      <c r="F1358" s="5" t="str">
        <f>_xlfn.XLOOKUP(D1358,[1]!Tabela24[Código consultor],[1]!Tabela24[Canal Consultor],0,0,1)</f>
        <v>Pap</v>
      </c>
      <c r="G1358" s="5" t="str">
        <f>_xlfn.XLOOKUP(B1358,[1]!Tabela1[[Cidades ]],[1]!Tabela1[Regional],0,0,1)</f>
        <v>Jean</v>
      </c>
      <c r="H1358" s="8" t="str">
        <f>_xlfn.XLOOKUP(B1358,[1]!Tabela1[[Cidades ]],[1]!Tabela1[Gerente],0,0,1)</f>
        <v>Demais coordenadores</v>
      </c>
    </row>
    <row r="1359" spans="1:8" x14ac:dyDescent="0.3">
      <c r="A1359" s="9" t="s">
        <v>1554</v>
      </c>
      <c r="B1359" s="10" t="s">
        <v>34</v>
      </c>
      <c r="C1359" s="11">
        <v>45839</v>
      </c>
      <c r="D1359" s="12">
        <v>213687</v>
      </c>
      <c r="E1359" s="5" t="str">
        <f>_xlfn.XLOOKUP(D1359,[1]!Tabela24[Código consultor],[1]!Tabela24[Consultor Venda],0,0,1)</f>
        <v>COM - ERE - GABRIELE FERREIRA FORTUNATO</v>
      </c>
      <c r="F1359" s="5" t="str">
        <f>_xlfn.XLOOKUP(D1359,[1]!Tabela24[Código consultor],[1]!Tabela24[Canal Consultor],0,0,1)</f>
        <v>INTERNO</v>
      </c>
      <c r="G1359" s="10" t="str">
        <f>_xlfn.XLOOKUP(B1359,[1]!Tabela1[[Cidades ]],[1]!Tabela1[Regional],0,0,1)</f>
        <v>Alisson</v>
      </c>
      <c r="H1359" s="13" t="str">
        <f>_xlfn.XLOOKUP(B1359,[1]!Tabela1[[Cidades ]],[1]!Tabela1[Gerente],0,0,1)</f>
        <v>Karine</v>
      </c>
    </row>
    <row r="1360" spans="1:8" x14ac:dyDescent="0.3">
      <c r="A1360" s="4" t="s">
        <v>1555</v>
      </c>
      <c r="B1360" s="5" t="s">
        <v>92</v>
      </c>
      <c r="C1360" s="6">
        <v>45839</v>
      </c>
      <c r="D1360" s="7">
        <v>197832</v>
      </c>
      <c r="E1360" s="5" t="str">
        <f>_xlfn.XLOOKUP(D1360,[1]!Tabela24[Código consultor],[1]!Tabela24[Consultor Venda],0,0,1)</f>
        <v>DIG - CCO - RAIANE BERGAMIN</v>
      </c>
      <c r="F1360" s="5" t="str">
        <f>_xlfn.XLOOKUP(D1360,[1]!Tabela24[Código consultor],[1]!Tabela24[Canal Consultor],0,0,1)</f>
        <v>DIGITAL</v>
      </c>
      <c r="G1360" s="5" t="str">
        <f>_xlfn.XLOOKUP(B1360,[1]!Tabela1[[Cidades ]],[1]!Tabela1[Regional],0,0,1)</f>
        <v>Maycon</v>
      </c>
      <c r="H1360" s="8" t="str">
        <f>_xlfn.XLOOKUP(B1360,[1]!Tabela1[[Cidades ]],[1]!Tabela1[Gerente],0,0,1)</f>
        <v>Demais coordenadores</v>
      </c>
    </row>
    <row r="1361" spans="1:8" x14ac:dyDescent="0.3">
      <c r="A1361" s="9" t="s">
        <v>1557</v>
      </c>
      <c r="B1361" s="10" t="s">
        <v>60</v>
      </c>
      <c r="C1361" s="11">
        <v>45839</v>
      </c>
      <c r="D1361" s="12">
        <v>861705</v>
      </c>
      <c r="E1361" s="5" t="str">
        <f>_xlfn.XLOOKUP(D1361,[1]!Tabela24[Código consultor],[1]!Tabela24[Consultor Venda],0,0,1)</f>
        <v>PAR - COM - PAP - TQR - ERIKA DE OLIVEIRA GALLE</v>
      </c>
      <c r="F1361" s="5" t="str">
        <f>_xlfn.XLOOKUP(D1361,[1]!Tabela24[Código consultor],[1]!Tabela24[Canal Consultor],0,0,1)</f>
        <v>PAR</v>
      </c>
      <c r="G1361" s="10" t="str">
        <f>_xlfn.XLOOKUP(B1361,[1]!Tabela1[[Cidades ]],[1]!Tabela1[Regional],0,0,1)</f>
        <v>Magno</v>
      </c>
      <c r="H1361" s="13" t="str">
        <f>_xlfn.XLOOKUP(B1361,[1]!Tabela1[[Cidades ]],[1]!Tabela1[Gerente],0,0,1)</f>
        <v>Demais coordenadores</v>
      </c>
    </row>
    <row r="1362" spans="1:8" x14ac:dyDescent="0.3">
      <c r="A1362" s="4" t="s">
        <v>1559</v>
      </c>
      <c r="B1362" s="5" t="s">
        <v>35</v>
      </c>
      <c r="C1362" s="6">
        <v>45839</v>
      </c>
      <c r="D1362" s="7">
        <v>741461</v>
      </c>
      <c r="E1362" s="5" t="str">
        <f>_xlfn.XLOOKUP(D1362,[1]!Tabela24[Código consultor],[1]!Tabela24[Consultor Venda],0,0,1)</f>
        <v>PAR - PAP - MVH - DIGITAL SUL SOLUCOES - MARIA ISABEL LEVY</v>
      </c>
      <c r="F1362" s="5" t="str">
        <f>_xlfn.XLOOKUP(D1362,[1]!Tabela24[Código consultor],[1]!Tabela24[Canal Consultor],0,0,1)</f>
        <v>PAR_DIG</v>
      </c>
      <c r="G1362" s="5" t="str">
        <f>_xlfn.XLOOKUP(B1362,[1]!Tabela1[[Cidades ]],[1]!Tabela1[Regional],0,0,1)</f>
        <v>Magno</v>
      </c>
      <c r="H1362" s="8" t="str">
        <f>_xlfn.XLOOKUP(B1362,[1]!Tabela1[[Cidades ]],[1]!Tabela1[Gerente],0,0,1)</f>
        <v>Demais coordenadores</v>
      </c>
    </row>
    <row r="1363" spans="1:8" x14ac:dyDescent="0.3">
      <c r="A1363" s="9" t="s">
        <v>265</v>
      </c>
      <c r="B1363" s="10" t="s">
        <v>70</v>
      </c>
      <c r="C1363" s="11">
        <v>45839</v>
      </c>
      <c r="D1363" s="12">
        <v>883819</v>
      </c>
      <c r="E1363" s="5" t="str">
        <f>_xlfn.XLOOKUP(D1363,[1]!Tabela24[Código consultor],[1]!Tabela24[Consultor Venda],0,0,1)</f>
        <v>COM - PAS - MARIA LUIZA NECHER DA SILVEIRA</v>
      </c>
      <c r="F1363" s="5" t="str">
        <f>_xlfn.XLOOKUP(D1363,[1]!Tabela24[Código consultor],[1]!Tabela24[Canal Consultor],0,0,1)</f>
        <v>INTERNO</v>
      </c>
      <c r="G1363" s="10" t="str">
        <f>_xlfn.XLOOKUP(B1363,[1]!Tabela1[[Cidades ]],[1]!Tabela1[Regional],0,0,1)</f>
        <v>Alisson</v>
      </c>
      <c r="H1363" s="13" t="str">
        <f>_xlfn.XLOOKUP(B1363,[1]!Tabela1[[Cidades ]],[1]!Tabela1[Gerente],0,0,1)</f>
        <v>Ariana</v>
      </c>
    </row>
    <row r="1364" spans="1:8" x14ac:dyDescent="0.3">
      <c r="A1364" s="4" t="s">
        <v>1373</v>
      </c>
      <c r="B1364" s="5" t="s">
        <v>11</v>
      </c>
      <c r="C1364" s="6">
        <v>45839</v>
      </c>
      <c r="D1364" s="7">
        <v>858843</v>
      </c>
      <c r="E1364" s="5" t="str">
        <f>_xlfn.XLOOKUP(D1364,[1]!Tabela24[Código consultor],[1]!Tabela24[Consultor Venda],0,0,1)</f>
        <v>COM - GTI - LARISSA SILVEIRA DE FRAGA</v>
      </c>
      <c r="F1364" s="5" t="str">
        <f>_xlfn.XLOOKUP(D1364,[1]!Tabela24[Código consultor],[1]!Tabela24[Canal Consultor],0,0,1)</f>
        <v>INTERNO</v>
      </c>
      <c r="G1364" s="5" t="str">
        <f>_xlfn.XLOOKUP(B1364,[1]!Tabela1[[Cidades ]],[1]!Tabela1[Regional],0,0,1)</f>
        <v>Magno</v>
      </c>
      <c r="H1364" s="8" t="str">
        <f>_xlfn.XLOOKUP(B1364,[1]!Tabela1[[Cidades ]],[1]!Tabela1[Gerente],0,0,1)</f>
        <v>Demais coordenadores</v>
      </c>
    </row>
    <row r="1365" spans="1:8" x14ac:dyDescent="0.3">
      <c r="A1365" s="9" t="s">
        <v>1374</v>
      </c>
      <c r="B1365" s="10" t="s">
        <v>39</v>
      </c>
      <c r="C1365" s="11">
        <v>45839</v>
      </c>
      <c r="D1365" s="12">
        <v>547570</v>
      </c>
      <c r="E1365" s="5" t="str">
        <f>_xlfn.XLOOKUP(D1365,[1]!Tabela24[Código consultor],[1]!Tabela24[Consultor Venda],0,0,1)</f>
        <v>COM - LGS - ISABEL CRISTINA RODRIGUES DE JESUS</v>
      </c>
      <c r="F1365" s="5" t="str">
        <f>_xlfn.XLOOKUP(D1365,[1]!Tabela24[Código consultor],[1]!Tabela24[Canal Consultor],0,0,1)</f>
        <v>INTERNO</v>
      </c>
      <c r="G1365" s="10" t="str">
        <f>_xlfn.XLOOKUP(B1365,[1]!Tabela1[[Cidades ]],[1]!Tabela1[Regional],0,0,1)</f>
        <v>Marcio</v>
      </c>
      <c r="H1365" s="13" t="str">
        <f>_xlfn.XLOOKUP(B1365,[1]!Tabela1[[Cidades ]],[1]!Tabela1[Gerente],0,0,1)</f>
        <v>Demais coordenadores</v>
      </c>
    </row>
    <row r="1366" spans="1:8" x14ac:dyDescent="0.3">
      <c r="A1366" s="4" t="s">
        <v>1375</v>
      </c>
      <c r="B1366" s="5" t="s">
        <v>22</v>
      </c>
      <c r="C1366" s="6">
        <v>45839</v>
      </c>
      <c r="D1366" s="7">
        <v>738880</v>
      </c>
      <c r="E1366" s="5" t="str">
        <f>_xlfn.XLOOKUP(D1366,[1]!Tabela24[Código consultor],[1]!Tabela24[Consultor Venda],0,0,1)</f>
        <v>PAR - PAP - MUNDIALE - ANA LUIZA COUTO MATIAS</v>
      </c>
      <c r="F1366" s="5" t="str">
        <f>_xlfn.XLOOKUP(D1366,[1]!Tabela24[Código consultor],[1]!Tabela24[Canal Consultor],0,0,1)</f>
        <v>PAR_DIG</v>
      </c>
      <c r="G1366" s="5" t="str">
        <f>_xlfn.XLOOKUP(B1366,[1]!Tabela1[[Cidades ]],[1]!Tabela1[Regional],0,0,1)</f>
        <v>Magno</v>
      </c>
      <c r="H1366" s="8" t="str">
        <f>_xlfn.XLOOKUP(B1366,[1]!Tabela1[[Cidades ]],[1]!Tabela1[Gerente],0,0,1)</f>
        <v>Demais coordenadores</v>
      </c>
    </row>
    <row r="1367" spans="1:8" x14ac:dyDescent="0.3">
      <c r="A1367" s="9" t="s">
        <v>1377</v>
      </c>
      <c r="B1367" s="10" t="s">
        <v>11</v>
      </c>
      <c r="C1367" s="11">
        <v>45839</v>
      </c>
      <c r="D1367" s="12">
        <v>861705</v>
      </c>
      <c r="E1367" s="5" t="str">
        <f>_xlfn.XLOOKUP(D1367,[1]!Tabela24[Código consultor],[1]!Tabela24[Consultor Venda],0,0,1)</f>
        <v>PAR - COM - PAP - TQR - ERIKA DE OLIVEIRA GALLE</v>
      </c>
      <c r="F1367" s="5" t="str">
        <f>_xlfn.XLOOKUP(D1367,[1]!Tabela24[Código consultor],[1]!Tabela24[Canal Consultor],0,0,1)</f>
        <v>PAR</v>
      </c>
      <c r="G1367" s="10" t="str">
        <f>_xlfn.XLOOKUP(B1367,[1]!Tabela1[[Cidades ]],[1]!Tabela1[Regional],0,0,1)</f>
        <v>Magno</v>
      </c>
      <c r="H1367" s="13" t="str">
        <f>_xlfn.XLOOKUP(B1367,[1]!Tabela1[[Cidades ]],[1]!Tabela1[Gerente],0,0,1)</f>
        <v>Demais coordenadores</v>
      </c>
    </row>
    <row r="1368" spans="1:8" x14ac:dyDescent="0.3">
      <c r="A1368" s="4" t="s">
        <v>143</v>
      </c>
      <c r="B1368" s="5" t="s">
        <v>30</v>
      </c>
      <c r="C1368" s="6">
        <v>45839</v>
      </c>
      <c r="D1368" s="7">
        <v>692744</v>
      </c>
      <c r="E1368" s="5" t="str">
        <f>_xlfn.XLOOKUP(D1368,[1]!Tabela24[Código consultor],[1]!Tabela24[Consultor Venda],0,0,1)</f>
        <v>CORP - SOC - ANDERSON LUNA DOS SANTOS</v>
      </c>
      <c r="F1368" s="5" t="str">
        <f>_xlfn.XLOOKUP(D1368,[1]!Tabela24[Código consultor],[1]!Tabela24[Canal Consultor],0,0,1)</f>
        <v>CORPORATIVO</v>
      </c>
      <c r="G1368" s="5" t="str">
        <f>_xlfn.XLOOKUP(B1368,[1]!Tabela1[[Cidades ]],[1]!Tabela1[Regional],0,0,1)</f>
        <v>Jean</v>
      </c>
      <c r="H1368" s="8" t="str">
        <f>_xlfn.XLOOKUP(B1368,[1]!Tabela1[[Cidades ]],[1]!Tabela1[Gerente],0,0,1)</f>
        <v>Demais coordenadores</v>
      </c>
    </row>
    <row r="1369" spans="1:8" x14ac:dyDescent="0.3">
      <c r="A1369" s="9" t="s">
        <v>1378</v>
      </c>
      <c r="B1369" s="10" t="s">
        <v>94</v>
      </c>
      <c r="C1369" s="11">
        <v>45839</v>
      </c>
      <c r="D1369" s="12">
        <v>399007</v>
      </c>
      <c r="E1369" s="5" t="str">
        <f>_xlfn.XLOOKUP(D1369,[1]!Tabela24[Código consultor],[1]!Tabela24[Consultor Venda],0,0,1)</f>
        <v>PAR - COM - TND - MP INFORMÁTICA - SIDNEI JOSE MOI</v>
      </c>
      <c r="F1369" s="5" t="str">
        <f>_xlfn.XLOOKUP(D1369,[1]!Tabela24[Código consultor],[1]!Tabela24[Canal Consultor],0,0,1)</f>
        <v>PAR</v>
      </c>
      <c r="G1369" s="10" t="str">
        <f>_xlfn.XLOOKUP(B1369,[1]!Tabela1[[Cidades ]],[1]!Tabela1[Regional],0,0,1)</f>
        <v>Alisson</v>
      </c>
      <c r="H1369" s="13" t="str">
        <f>_xlfn.XLOOKUP(B1369,[1]!Tabela1[[Cidades ]],[1]!Tabela1[Gerente],0,0,1)</f>
        <v>Helena</v>
      </c>
    </row>
    <row r="1370" spans="1:8" x14ac:dyDescent="0.3">
      <c r="A1370" s="4" t="s">
        <v>1380</v>
      </c>
      <c r="B1370" s="5" t="s">
        <v>59</v>
      </c>
      <c r="C1370" s="6">
        <v>45839</v>
      </c>
      <c r="D1370" s="7">
        <v>885451</v>
      </c>
      <c r="E1370" s="5" t="str">
        <f>_xlfn.XLOOKUP(D1370,[1]!Tabela24[Código consultor],[1]!Tabela24[Consultor Venda],0,0,1)</f>
        <v>COM - UMR - MARIA EDUARDA OLIVEIRA SIBIONI</v>
      </c>
      <c r="F1370" s="5" t="str">
        <f>_xlfn.XLOOKUP(D1370,[1]!Tabela24[Código consultor],[1]!Tabela24[Canal Consultor],0,0,1)</f>
        <v>INTERNO</v>
      </c>
      <c r="G1370" s="5" t="str">
        <f>_xlfn.XLOOKUP(B1370,[1]!Tabela1[[Cidades ]],[1]!Tabela1[Regional],0,0,1)</f>
        <v>Adilson</v>
      </c>
      <c r="H1370" s="8" t="str">
        <f>_xlfn.XLOOKUP(B1370,[1]!Tabela1[[Cidades ]],[1]!Tabela1[Gerente],0,0,1)</f>
        <v>Demais coordenadores</v>
      </c>
    </row>
    <row r="1371" spans="1:8" x14ac:dyDescent="0.3">
      <c r="A1371" s="9" t="s">
        <v>1560</v>
      </c>
      <c r="B1371" s="10" t="s">
        <v>77</v>
      </c>
      <c r="C1371" s="11">
        <v>45839</v>
      </c>
      <c r="D1371" s="12">
        <v>127424</v>
      </c>
      <c r="E1371" s="5" t="str">
        <f>_xlfn.XLOOKUP(D1371,[1]!Tabela24[Código consultor],[1]!Tabela24[Consultor Venda],0,0,1)</f>
        <v>PAR - COM - BSL - VGI TELECOMUNICAÇÕES - CRISTIANE F VARGAS</v>
      </c>
      <c r="F1371" s="5" t="str">
        <f>_xlfn.XLOOKUP(D1371,[1]!Tabela24[Código consultor],[1]!Tabela24[Canal Consultor],0,0,1)</f>
        <v>PAR</v>
      </c>
      <c r="G1371" s="10" t="str">
        <f>_xlfn.XLOOKUP(B1371,[1]!Tabela1[[Cidades ]],[1]!Tabela1[Regional],0,0,1)</f>
        <v>Alisson</v>
      </c>
      <c r="H1371" s="13" t="str">
        <f>_xlfn.XLOOKUP(B1371,[1]!Tabela1[[Cidades ]],[1]!Tabela1[Gerente],0,0,1)</f>
        <v>Ariana</v>
      </c>
    </row>
    <row r="1372" spans="1:8" x14ac:dyDescent="0.3">
      <c r="A1372" s="4" t="s">
        <v>1381</v>
      </c>
      <c r="B1372" s="5" t="s">
        <v>31</v>
      </c>
      <c r="C1372" s="6">
        <v>45839</v>
      </c>
      <c r="D1372" s="7">
        <v>235841</v>
      </c>
      <c r="E1372" s="5" t="str">
        <f>_xlfn.XLOOKUP(D1372,[1]!Tabela24[Código consultor],[1]!Tabela24[Consultor Venda],0,0,1)</f>
        <v>DIG - CCO - KAUANA BONI</v>
      </c>
      <c r="F1372" s="5" t="str">
        <f>_xlfn.XLOOKUP(D1372,[1]!Tabela24[Código consultor],[1]!Tabela24[Canal Consultor],0,0,1)</f>
        <v>DIGITAL</v>
      </c>
      <c r="G1372" s="5" t="str">
        <f>_xlfn.XLOOKUP(B1372,[1]!Tabela1[[Cidades ]],[1]!Tabela1[Regional],0,0,1)</f>
        <v>Maycon</v>
      </c>
      <c r="H1372" s="8" t="str">
        <f>_xlfn.XLOOKUP(B1372,[1]!Tabela1[[Cidades ]],[1]!Tabela1[Gerente],0,0,1)</f>
        <v>Demais coordenadores</v>
      </c>
    </row>
    <row r="1373" spans="1:8" x14ac:dyDescent="0.3">
      <c r="A1373" s="9" t="s">
        <v>1384</v>
      </c>
      <c r="B1373" s="10" t="s">
        <v>88</v>
      </c>
      <c r="C1373" s="11">
        <v>45839</v>
      </c>
      <c r="D1373" s="12">
        <v>683349</v>
      </c>
      <c r="E1373" s="5" t="str">
        <f>_xlfn.XLOOKUP(D1373,[1]!Tabela24[Código consultor],[1]!Tabela24[Consultor Venda],0,0,1)</f>
        <v>DIG - CCO - EVELLIN SALOA MAIA DA CONCEICAO</v>
      </c>
      <c r="F1373" s="5" t="str">
        <f>_xlfn.XLOOKUP(D1373,[1]!Tabela24[Código consultor],[1]!Tabela24[Canal Consultor],0,0,1)</f>
        <v>DIGITAL</v>
      </c>
      <c r="G1373" s="10" t="str">
        <f>_xlfn.XLOOKUP(B1373,[1]!Tabela1[[Cidades ]],[1]!Tabela1[Regional],0,0,1)</f>
        <v>Marcio</v>
      </c>
      <c r="H1373" s="13" t="str">
        <f>_xlfn.XLOOKUP(B1373,[1]!Tabela1[[Cidades ]],[1]!Tabela1[Gerente],0,0,1)</f>
        <v>Demais coordenadores</v>
      </c>
    </row>
    <row r="1374" spans="1:8" x14ac:dyDescent="0.3">
      <c r="A1374" s="4" t="s">
        <v>1385</v>
      </c>
      <c r="B1374" s="5" t="s">
        <v>13</v>
      </c>
      <c r="C1374" s="6">
        <v>45839</v>
      </c>
      <c r="D1374" s="7">
        <v>883815</v>
      </c>
      <c r="E1374" s="5" t="str">
        <f>_xlfn.XLOOKUP(D1374,[1]!Tabela24[Código consultor],[1]!Tabela24[Consultor Venda],0,0,1)</f>
        <v>COM - PAS - HIAGO LANDIM TELES</v>
      </c>
      <c r="F1374" s="5" t="str">
        <f>_xlfn.XLOOKUP(D1374,[1]!Tabela24[Código consultor],[1]!Tabela24[Canal Consultor],0,0,1)</f>
        <v>INTERNO</v>
      </c>
      <c r="G1374" s="5" t="str">
        <f>_xlfn.XLOOKUP(B1374,[1]!Tabela1[[Cidades ]],[1]!Tabela1[Regional],0,0,1)</f>
        <v>Alisson</v>
      </c>
      <c r="H1374" s="8" t="str">
        <f>_xlfn.XLOOKUP(B1374,[1]!Tabela1[[Cidades ]],[1]!Tabela1[Gerente],0,0,1)</f>
        <v>Ariana</v>
      </c>
    </row>
    <row r="1375" spans="1:8" x14ac:dyDescent="0.3">
      <c r="A1375" s="9" t="s">
        <v>189</v>
      </c>
      <c r="B1375" s="10" t="s">
        <v>45</v>
      </c>
      <c r="C1375" s="11">
        <v>45839</v>
      </c>
      <c r="D1375" s="12">
        <v>780612</v>
      </c>
      <c r="E1375" s="5" t="str">
        <f>_xlfn.XLOOKUP(D1375,[1]!Tabela24[Código consultor],[1]!Tabela24[Consultor Venda],0,0,1)</f>
        <v>PAR - PAP - MUNDIALE - Luana Gabriela da Silva Moura</v>
      </c>
      <c r="F1375" s="5" t="str">
        <f>_xlfn.XLOOKUP(D1375,[1]!Tabela24[Código consultor],[1]!Tabela24[Canal Consultor],0,0,1)</f>
        <v>PAR_DIG</v>
      </c>
      <c r="G1375" s="10" t="str">
        <f>_xlfn.XLOOKUP(B1375,[1]!Tabela1[[Cidades ]],[1]!Tabela1[Regional],0,0,1)</f>
        <v>Jean</v>
      </c>
      <c r="H1375" s="13" t="str">
        <f>_xlfn.XLOOKUP(B1375,[1]!Tabela1[[Cidades ]],[1]!Tabela1[Gerente],0,0,1)</f>
        <v>Demais coordenadores</v>
      </c>
    </row>
    <row r="1376" spans="1:8" x14ac:dyDescent="0.3">
      <c r="A1376" s="4" t="s">
        <v>1388</v>
      </c>
      <c r="B1376" s="5" t="s">
        <v>73</v>
      </c>
      <c r="C1376" s="6">
        <v>45839</v>
      </c>
      <c r="D1376" s="7">
        <v>883580</v>
      </c>
      <c r="E1376" s="5" t="str">
        <f>_xlfn.XLOOKUP(D1376,[1]!Tabela24[Código consultor],[1]!Tabela24[Consultor Venda],0,0,1)</f>
        <v>COM - NNI - CRISTINA PELINSON</v>
      </c>
      <c r="F1376" s="5" t="str">
        <f>_xlfn.XLOOKUP(D1376,[1]!Tabela24[Código consultor],[1]!Tabela24[Canal Consultor],0,0,1)</f>
        <v>INTERNO</v>
      </c>
      <c r="G1376" s="5" t="str">
        <f>_xlfn.XLOOKUP(B1376,[1]!Tabela1[[Cidades ]],[1]!Tabela1[Regional],0,0,1)</f>
        <v>Alisson</v>
      </c>
      <c r="H1376" s="8" t="str">
        <f>_xlfn.XLOOKUP(B1376,[1]!Tabela1[[Cidades ]],[1]!Tabela1[Gerente],0,0,1)</f>
        <v>Helena</v>
      </c>
    </row>
    <row r="1377" spans="1:8" x14ac:dyDescent="0.3">
      <c r="A1377" s="9" t="s">
        <v>1390</v>
      </c>
      <c r="B1377" s="10" t="s">
        <v>79</v>
      </c>
      <c r="C1377" s="11">
        <v>45839</v>
      </c>
      <c r="D1377" s="12">
        <v>361</v>
      </c>
      <c r="E1377" s="5" t="str">
        <f>_xlfn.XLOOKUP(D1377,[1]!Tabela24[Código consultor],[1]!Tabela24[Consultor Venda],0,0,1)</f>
        <v>COM - LVH - DANIELA DE ALMEIDA</v>
      </c>
      <c r="F1377" s="5" t="str">
        <f>_xlfn.XLOOKUP(D1377,[1]!Tabela24[Código consultor],[1]!Tabela24[Canal Consultor],0,0,1)</f>
        <v>INTERNO</v>
      </c>
      <c r="G1377" s="10" t="str">
        <f>_xlfn.XLOOKUP(B1377,[1]!Tabela1[[Cidades ]],[1]!Tabela1[Regional],0,0,1)</f>
        <v>Alisson</v>
      </c>
      <c r="H1377" s="13" t="str">
        <f>_xlfn.XLOOKUP(B1377,[1]!Tabela1[[Cidades ]],[1]!Tabela1[Gerente],0,0,1)</f>
        <v>Tatiane</v>
      </c>
    </row>
    <row r="1378" spans="1:8" x14ac:dyDescent="0.3">
      <c r="A1378" s="4" t="s">
        <v>1561</v>
      </c>
      <c r="B1378" s="5" t="s">
        <v>50</v>
      </c>
      <c r="C1378" s="6">
        <v>45839</v>
      </c>
      <c r="D1378" s="7">
        <v>878685</v>
      </c>
      <c r="E1378" s="5" t="str">
        <f>_xlfn.XLOOKUP(D1378,[1]!Tabela24[Código consultor],[1]!Tabela24[Consultor Venda],0,0,1)</f>
        <v>COM - FNS - LETICIA LEONOR LINHARES</v>
      </c>
      <c r="F1378" s="5" t="str">
        <f>_xlfn.XLOOKUP(D1378,[1]!Tabela24[Código consultor],[1]!Tabela24[Canal Consultor],0,0,1)</f>
        <v>INTERNO</v>
      </c>
      <c r="G1378" s="5" t="str">
        <f>_xlfn.XLOOKUP(B1378,[1]!Tabela1[[Cidades ]],[1]!Tabela1[Regional],0,0,1)</f>
        <v>Marcio</v>
      </c>
      <c r="H1378" s="8" t="str">
        <f>_xlfn.XLOOKUP(B1378,[1]!Tabela1[[Cidades ]],[1]!Tabela1[Gerente],0,0,1)</f>
        <v>Demais coordenadores</v>
      </c>
    </row>
    <row r="1379" spans="1:8" x14ac:dyDescent="0.3">
      <c r="A1379" s="9" t="s">
        <v>1562</v>
      </c>
      <c r="B1379" s="10" t="s">
        <v>31</v>
      </c>
      <c r="C1379" s="11">
        <v>45839</v>
      </c>
      <c r="D1379" s="12">
        <v>794227</v>
      </c>
      <c r="E1379" s="5" t="str">
        <f>_xlfn.XLOOKUP(D1379,[1]!Tabela24[Código consultor],[1]!Tabela24[Consultor Venda],0,0,1)</f>
        <v>PAR - PAP - TECH PERFORMANCE - Dario de Oliveira</v>
      </c>
      <c r="F1379" s="5" t="str">
        <f>_xlfn.XLOOKUP(D1379,[1]!Tabela24[Código consultor],[1]!Tabela24[Canal Consultor],0,0,1)</f>
        <v>Par</v>
      </c>
      <c r="G1379" s="10" t="str">
        <f>_xlfn.XLOOKUP(B1379,[1]!Tabela1[[Cidades ]],[1]!Tabela1[Regional],0,0,1)</f>
        <v>Maycon</v>
      </c>
      <c r="H1379" s="13" t="str">
        <f>_xlfn.XLOOKUP(B1379,[1]!Tabela1[[Cidades ]],[1]!Tabela1[Gerente],0,0,1)</f>
        <v>Demais coordenadores</v>
      </c>
    </row>
    <row r="1380" spans="1:8" x14ac:dyDescent="0.3">
      <c r="A1380" s="4" t="s">
        <v>1394</v>
      </c>
      <c r="B1380" s="5" t="s">
        <v>45</v>
      </c>
      <c r="C1380" s="6">
        <v>45839</v>
      </c>
      <c r="D1380" s="7">
        <v>827465</v>
      </c>
      <c r="E1380" s="5" t="str">
        <f>_xlfn.XLOOKUP(D1380,[1]!Tabela24[Código consultor],[1]!Tabela24[Consultor Venda],0,0,1)</f>
        <v>DIG - ATV - TAINARA RODRIGUES CORDEIRO</v>
      </c>
      <c r="F1380" s="5" t="str">
        <f>_xlfn.XLOOKUP(D1380,[1]!Tabela24[Código consultor],[1]!Tabela24[Canal Consultor],0,0,1)</f>
        <v>Televendas Ativo</v>
      </c>
      <c r="G1380" s="5" t="str">
        <f>_xlfn.XLOOKUP(B1380,[1]!Tabela1[[Cidades ]],[1]!Tabela1[Regional],0,0,1)</f>
        <v>Jean</v>
      </c>
      <c r="H1380" s="8" t="str">
        <f>_xlfn.XLOOKUP(B1380,[1]!Tabela1[[Cidades ]],[1]!Tabela1[Gerente],0,0,1)</f>
        <v>Demais coordenadores</v>
      </c>
    </row>
    <row r="1381" spans="1:8" x14ac:dyDescent="0.3">
      <c r="A1381" s="9" t="s">
        <v>214</v>
      </c>
      <c r="B1381" s="10" t="s">
        <v>19</v>
      </c>
      <c r="C1381" s="11">
        <v>45839</v>
      </c>
      <c r="D1381" s="12">
        <v>683349</v>
      </c>
      <c r="E1381" s="5" t="str">
        <f>_xlfn.XLOOKUP(D1381,[1]!Tabela24[Código consultor],[1]!Tabela24[Consultor Venda],0,0,1)</f>
        <v>DIG - CCO - EVELLIN SALOA MAIA DA CONCEICAO</v>
      </c>
      <c r="F1381" s="5" t="str">
        <f>_xlfn.XLOOKUP(D1381,[1]!Tabela24[Código consultor],[1]!Tabela24[Canal Consultor],0,0,1)</f>
        <v>DIGITAL</v>
      </c>
      <c r="G1381" s="10" t="str">
        <f>_xlfn.XLOOKUP(B1381,[1]!Tabela1[[Cidades ]],[1]!Tabela1[Regional],0,0,1)</f>
        <v>Magno</v>
      </c>
      <c r="H1381" s="13" t="str">
        <f>_xlfn.XLOOKUP(B1381,[1]!Tabela1[[Cidades ]],[1]!Tabela1[Gerente],0,0,1)</f>
        <v>Demais coordenadores</v>
      </c>
    </row>
    <row r="1382" spans="1:8" x14ac:dyDescent="0.3">
      <c r="A1382" s="4" t="s">
        <v>134</v>
      </c>
      <c r="B1382" s="5" t="s">
        <v>10</v>
      </c>
      <c r="C1382" s="6">
        <v>45839</v>
      </c>
      <c r="D1382" s="7">
        <v>233138</v>
      </c>
      <c r="E1382" s="5" t="str">
        <f>_xlfn.XLOOKUP(D1382,[1]!Tabela24[Código consultor],[1]!Tabela24[Consultor Venda],0,0,1)</f>
        <v>PAR - INTE - GRP - MOBILE HD - ALINE KARNOSKI</v>
      </c>
      <c r="F1382" s="5" t="str">
        <f>_xlfn.XLOOKUP(D1382,[1]!Tabela24[Código consultor],[1]!Tabela24[Canal Consultor],0,0,1)</f>
        <v>PAR</v>
      </c>
      <c r="G1382" s="5" t="str">
        <f>_xlfn.XLOOKUP(B1382,[1]!Tabela1[[Cidades ]],[1]!Tabela1[Regional],0,0,1)</f>
        <v>Jean</v>
      </c>
      <c r="H1382" s="8" t="str">
        <f>_xlfn.XLOOKUP(B1382,[1]!Tabela1[[Cidades ]],[1]!Tabela1[Gerente],0,0,1)</f>
        <v>Demais coordenadores</v>
      </c>
    </row>
    <row r="1383" spans="1:8" x14ac:dyDescent="0.3">
      <c r="A1383" s="9" t="s">
        <v>158</v>
      </c>
      <c r="B1383" s="10" t="s">
        <v>10</v>
      </c>
      <c r="C1383" s="11">
        <v>45839</v>
      </c>
      <c r="D1383" s="12">
        <v>788656</v>
      </c>
      <c r="E1383" s="5" t="str">
        <f>_xlfn.XLOOKUP(D1383,[1]!Tabela24[Código consultor],[1]!Tabela24[Consultor Venda],0,0,1)</f>
        <v>PAR - STB - PAP - JOY TELECOM - GABRIELA ALVES DE GODOY</v>
      </c>
      <c r="F1383" s="5" t="str">
        <f>_xlfn.XLOOKUP(D1383,[1]!Tabela24[Código consultor],[1]!Tabela24[Canal Consultor],0,0,1)</f>
        <v>PAR_DIG</v>
      </c>
      <c r="G1383" s="10" t="str">
        <f>_xlfn.XLOOKUP(B1383,[1]!Tabela1[[Cidades ]],[1]!Tabela1[Regional],0,0,1)</f>
        <v>Jean</v>
      </c>
      <c r="H1383" s="13" t="str">
        <f>_xlfn.XLOOKUP(B1383,[1]!Tabela1[[Cidades ]],[1]!Tabela1[Gerente],0,0,1)</f>
        <v>Demais coordenadores</v>
      </c>
    </row>
    <row r="1384" spans="1:8" x14ac:dyDescent="0.3">
      <c r="A1384" s="4" t="s">
        <v>1395</v>
      </c>
      <c r="B1384" s="5" t="s">
        <v>39</v>
      </c>
      <c r="C1384" s="6">
        <v>45839</v>
      </c>
      <c r="D1384" s="7">
        <v>811237</v>
      </c>
      <c r="E1384" s="5" t="str">
        <f>_xlfn.XLOOKUP(D1384,[1]!Tabela24[Código consultor],[1]!Tabela24[Consultor Venda],0,0,1)</f>
        <v>DIG - CCO - MAIKON JORDAN CHAVES DE QUADROS</v>
      </c>
      <c r="F1384" s="5" t="str">
        <f>_xlfn.XLOOKUP(D1384,[1]!Tabela24[Código consultor],[1]!Tabela24[Canal Consultor],0,0,1)</f>
        <v>DIGITAL</v>
      </c>
      <c r="G1384" s="5" t="str">
        <f>_xlfn.XLOOKUP(B1384,[1]!Tabela1[[Cidades ]],[1]!Tabela1[Regional],0,0,1)</f>
        <v>Marcio</v>
      </c>
      <c r="H1384" s="8" t="str">
        <f>_xlfn.XLOOKUP(B1384,[1]!Tabela1[[Cidades ]],[1]!Tabela1[Gerente],0,0,1)</f>
        <v>Demais coordenadores</v>
      </c>
    </row>
    <row r="1385" spans="1:8" x14ac:dyDescent="0.3">
      <c r="A1385" s="9" t="s">
        <v>197</v>
      </c>
      <c r="B1385" s="10" t="s">
        <v>105</v>
      </c>
      <c r="C1385" s="11">
        <v>45839</v>
      </c>
      <c r="D1385" s="12">
        <v>353572</v>
      </c>
      <c r="E1385" s="5" t="str">
        <f>_xlfn.XLOOKUP(D1385,[1]!Tabela24[Código consultor],[1]!Tabela24[Consultor Venda],0,0,1)</f>
        <v>COM - ERE - CRISTINA PAULA PEREIRA</v>
      </c>
      <c r="F1385" s="5" t="str">
        <f>_xlfn.XLOOKUP(D1385,[1]!Tabela24[Código consultor],[1]!Tabela24[Canal Consultor],0,0,1)</f>
        <v>INTERNO</v>
      </c>
      <c r="G1385" s="10" t="str">
        <f>_xlfn.XLOOKUP(B1385,[1]!Tabela1[[Cidades ]],[1]!Tabela1[Regional],0,0,1)</f>
        <v>Alisson</v>
      </c>
      <c r="H1385" s="13" t="str">
        <f>_xlfn.XLOOKUP(B1385,[1]!Tabela1[[Cidades ]],[1]!Tabela1[Gerente],0,0,1)</f>
        <v>Karine</v>
      </c>
    </row>
    <row r="1386" spans="1:8" x14ac:dyDescent="0.3">
      <c r="A1386" s="4" t="s">
        <v>247</v>
      </c>
      <c r="B1386" s="5" t="s">
        <v>15</v>
      </c>
      <c r="C1386" s="6">
        <v>45839</v>
      </c>
      <c r="D1386" s="7">
        <v>822704</v>
      </c>
      <c r="E1386" s="5" t="str">
        <f>_xlfn.XLOOKUP(D1386,[1]!Tabela24[Código consultor],[1]!Tabela24[Consultor Venda],0,0,1)</f>
        <v>PAR - PAP - V S MONTEIRO - VINICIUS SILVA MONTEIRO</v>
      </c>
      <c r="F1386" s="5" t="str">
        <f>_xlfn.XLOOKUP(D1386,[1]!Tabela24[Código consultor],[1]!Tabela24[Canal Consultor],0,0,1)</f>
        <v>PAR</v>
      </c>
      <c r="G1386" s="5" t="str">
        <f>_xlfn.XLOOKUP(B1386,[1]!Tabela1[[Cidades ]],[1]!Tabela1[Regional],0,0,1)</f>
        <v>Marcio</v>
      </c>
      <c r="H1386" s="8" t="str">
        <f>_xlfn.XLOOKUP(B1386,[1]!Tabela1[[Cidades ]],[1]!Tabela1[Gerente],0,0,1)</f>
        <v>Demais coordenadores</v>
      </c>
    </row>
    <row r="1387" spans="1:8" x14ac:dyDescent="0.3">
      <c r="A1387" s="9" t="s">
        <v>1399</v>
      </c>
      <c r="B1387" s="10" t="s">
        <v>31</v>
      </c>
      <c r="C1387" s="11">
        <v>45839</v>
      </c>
      <c r="D1387" s="12">
        <v>882331</v>
      </c>
      <c r="E1387" s="5" t="str">
        <f>_xlfn.XLOOKUP(D1387,[1]!Tabela24[Código consultor],[1]!Tabela24[Consultor Venda],0,0,1)</f>
        <v>DIG - CCO - SABRINA LUIZA BANDEIRA</v>
      </c>
      <c r="F1387" s="5" t="str">
        <f>_xlfn.XLOOKUP(D1387,[1]!Tabela24[Código consultor],[1]!Tabela24[Canal Consultor],0,0,1)</f>
        <v>DIGITAL</v>
      </c>
      <c r="G1387" s="10" t="str">
        <f>_xlfn.XLOOKUP(B1387,[1]!Tabela1[[Cidades ]],[1]!Tabela1[Regional],0,0,1)</f>
        <v>Maycon</v>
      </c>
      <c r="H1387" s="13" t="str">
        <f>_xlfn.XLOOKUP(B1387,[1]!Tabela1[[Cidades ]],[1]!Tabela1[Gerente],0,0,1)</f>
        <v>Demais coordenadores</v>
      </c>
    </row>
    <row r="1388" spans="1:8" x14ac:dyDescent="0.3">
      <c r="A1388" s="4" t="s">
        <v>1400</v>
      </c>
      <c r="B1388" s="5" t="s">
        <v>15</v>
      </c>
      <c r="C1388" s="6">
        <v>45839</v>
      </c>
      <c r="D1388" s="7">
        <v>382799</v>
      </c>
      <c r="E1388" s="5" t="str">
        <f>_xlfn.XLOOKUP(D1388,[1]!Tabela24[Código consultor],[1]!Tabela24[Consultor Venda],0,0,1)</f>
        <v>COM - NVG - MONICA GUERRA</v>
      </c>
      <c r="F1388" s="5" t="str">
        <f>_xlfn.XLOOKUP(D1388,[1]!Tabela24[Código consultor],[1]!Tabela24[Canal Consultor],0,0,1)</f>
        <v>INTERNO</v>
      </c>
      <c r="G1388" s="5" t="str">
        <f>_xlfn.XLOOKUP(B1388,[1]!Tabela1[[Cidades ]],[1]!Tabela1[Regional],0,0,1)</f>
        <v>Marcio</v>
      </c>
      <c r="H1388" s="8" t="str">
        <f>_xlfn.XLOOKUP(B1388,[1]!Tabela1[[Cidades ]],[1]!Tabela1[Gerente],0,0,1)</f>
        <v>Demais coordenadores</v>
      </c>
    </row>
    <row r="1389" spans="1:8" x14ac:dyDescent="0.3">
      <c r="A1389" s="9" t="s">
        <v>1402</v>
      </c>
      <c r="B1389" s="10" t="s">
        <v>11</v>
      </c>
      <c r="C1389" s="11">
        <v>45839</v>
      </c>
      <c r="D1389" s="12">
        <v>525458</v>
      </c>
      <c r="E1389" s="5" t="str">
        <f>_xlfn.XLOOKUP(D1389,[1]!Tabela24[Código consultor],[1]!Tabela24[Consultor Venda],0,0,1)</f>
        <v>PAR - ADM - GRP - FIGUEREDO MOBILE  - JOSELIO O. P. JUNIOR</v>
      </c>
      <c r="F1389" s="5" t="str">
        <f>_xlfn.XLOOKUP(D1389,[1]!Tabela24[Código consultor],[1]!Tabela24[Canal Consultor],0,0,1)</f>
        <v>PAR</v>
      </c>
      <c r="G1389" s="10" t="str">
        <f>_xlfn.XLOOKUP(B1389,[1]!Tabela1[[Cidades ]],[1]!Tabela1[Regional],0,0,1)</f>
        <v>Magno</v>
      </c>
      <c r="H1389" s="13" t="str">
        <f>_xlfn.XLOOKUP(B1389,[1]!Tabela1[[Cidades ]],[1]!Tabela1[Gerente],0,0,1)</f>
        <v>Demais coordenadores</v>
      </c>
    </row>
    <row r="1390" spans="1:8" x14ac:dyDescent="0.3">
      <c r="A1390" s="4" t="s">
        <v>278</v>
      </c>
      <c r="B1390" s="5" t="s">
        <v>88</v>
      </c>
      <c r="C1390" s="6">
        <v>45839</v>
      </c>
      <c r="D1390" s="7">
        <v>235841</v>
      </c>
      <c r="E1390" s="5" t="str">
        <f>_xlfn.XLOOKUP(D1390,[1]!Tabela24[Código consultor],[1]!Tabela24[Consultor Venda],0,0,1)</f>
        <v>DIG - CCO - KAUANA BONI</v>
      </c>
      <c r="F1390" s="5" t="str">
        <f>_xlfn.XLOOKUP(D1390,[1]!Tabela24[Código consultor],[1]!Tabela24[Canal Consultor],0,0,1)</f>
        <v>DIGITAL</v>
      </c>
      <c r="G1390" s="5" t="str">
        <f>_xlfn.XLOOKUP(B1390,[1]!Tabela1[[Cidades ]],[1]!Tabela1[Regional],0,0,1)</f>
        <v>Marcio</v>
      </c>
      <c r="H1390" s="8" t="str">
        <f>_xlfn.XLOOKUP(B1390,[1]!Tabela1[[Cidades ]],[1]!Tabela1[Gerente],0,0,1)</f>
        <v>Demais coordenadores</v>
      </c>
    </row>
    <row r="1391" spans="1:8" x14ac:dyDescent="0.3">
      <c r="A1391" s="9" t="s">
        <v>285</v>
      </c>
      <c r="B1391" s="10" t="s">
        <v>22</v>
      </c>
      <c r="C1391" s="11">
        <v>45839</v>
      </c>
      <c r="D1391" s="12">
        <v>165769</v>
      </c>
      <c r="E1391" s="5" t="str">
        <f>_xlfn.XLOOKUP(D1391,[1]!Tabela24[Código consultor],[1]!Tabela24[Consultor Venda],0,0,1)</f>
        <v>PAR - PAP - GTI - THALIA SP - THALIA DA SILVA PEREIRA</v>
      </c>
      <c r="F1391" s="5" t="str">
        <f>_xlfn.XLOOKUP(D1391,[1]!Tabela24[Código consultor],[1]!Tabela24[Canal Consultor],0,0,1)</f>
        <v>PAR</v>
      </c>
      <c r="G1391" s="10" t="str">
        <f>_xlfn.XLOOKUP(B1391,[1]!Tabela1[[Cidades ]],[1]!Tabela1[Regional],0,0,1)</f>
        <v>Magno</v>
      </c>
      <c r="H1391" s="13" t="str">
        <f>_xlfn.XLOOKUP(B1391,[1]!Tabela1[[Cidades ]],[1]!Tabela1[Gerente],0,0,1)</f>
        <v>Demais coordenadores</v>
      </c>
    </row>
    <row r="1392" spans="1:8" x14ac:dyDescent="0.3">
      <c r="A1392" s="4" t="s">
        <v>815</v>
      </c>
      <c r="B1392" s="5" t="s">
        <v>10</v>
      </c>
      <c r="C1392" s="6">
        <v>45839</v>
      </c>
      <c r="D1392" s="7">
        <v>827465</v>
      </c>
      <c r="E1392" s="5" t="str">
        <f>_xlfn.XLOOKUP(D1392,[1]!Tabela24[Código consultor],[1]!Tabela24[Consultor Venda],0,0,1)</f>
        <v>DIG - ATV - TAINARA RODRIGUES CORDEIRO</v>
      </c>
      <c r="F1392" s="5" t="str">
        <f>_xlfn.XLOOKUP(D1392,[1]!Tabela24[Código consultor],[1]!Tabela24[Canal Consultor],0,0,1)</f>
        <v>Televendas Ativo</v>
      </c>
      <c r="G1392" s="5" t="str">
        <f>_xlfn.XLOOKUP(B1392,[1]!Tabela1[[Cidades ]],[1]!Tabela1[Regional],0,0,1)</f>
        <v>Jean</v>
      </c>
      <c r="H1392" s="8" t="str">
        <f>_xlfn.XLOOKUP(B1392,[1]!Tabela1[[Cidades ]],[1]!Tabela1[Gerente],0,0,1)</f>
        <v>Demais coordenadores</v>
      </c>
    </row>
    <row r="1393" spans="1:8" x14ac:dyDescent="0.3">
      <c r="A1393" s="9" t="s">
        <v>1408</v>
      </c>
      <c r="B1393" s="10" t="s">
        <v>31</v>
      </c>
      <c r="C1393" s="11">
        <v>45839</v>
      </c>
      <c r="D1393" s="12">
        <v>873105</v>
      </c>
      <c r="E1393" s="5" t="str">
        <f>_xlfn.XLOOKUP(D1393,[1]!Tabela24[Código consultor],[1]!Tabela24[Consultor Venda],0,0,1)</f>
        <v>DIG - CCO - INGREDE TAMIRES ALMEIDA ALVES</v>
      </c>
      <c r="F1393" s="5" t="str">
        <f>_xlfn.XLOOKUP(D1393,[1]!Tabela24[Código consultor],[1]!Tabela24[Canal Consultor],0,0,1)</f>
        <v>DIGITAL</v>
      </c>
      <c r="G1393" s="10" t="str">
        <f>_xlfn.XLOOKUP(B1393,[1]!Tabela1[[Cidades ]],[1]!Tabela1[Regional],0,0,1)</f>
        <v>Maycon</v>
      </c>
      <c r="H1393" s="13" t="str">
        <f>_xlfn.XLOOKUP(B1393,[1]!Tabela1[[Cidades ]],[1]!Tabela1[Gerente],0,0,1)</f>
        <v>Demais coordenadores</v>
      </c>
    </row>
    <row r="1394" spans="1:8" x14ac:dyDescent="0.3">
      <c r="A1394" s="4" t="s">
        <v>1563</v>
      </c>
      <c r="B1394" s="5" t="s">
        <v>11</v>
      </c>
      <c r="C1394" s="6">
        <v>45839</v>
      </c>
      <c r="D1394" s="7">
        <v>233138</v>
      </c>
      <c r="E1394" s="5" t="str">
        <f>_xlfn.XLOOKUP(D1394,[1]!Tabela24[Código consultor],[1]!Tabela24[Consultor Venda],0,0,1)</f>
        <v>PAR - INTE - GRP - MOBILE HD - ALINE KARNOSKI</v>
      </c>
      <c r="F1394" s="5" t="str">
        <f>_xlfn.XLOOKUP(D1394,[1]!Tabela24[Código consultor],[1]!Tabela24[Canal Consultor],0,0,1)</f>
        <v>PAR</v>
      </c>
      <c r="G1394" s="5" t="str">
        <f>_xlfn.XLOOKUP(B1394,[1]!Tabela1[[Cidades ]],[1]!Tabela1[Regional],0,0,1)</f>
        <v>Magno</v>
      </c>
      <c r="H1394" s="8" t="str">
        <f>_xlfn.XLOOKUP(B1394,[1]!Tabela1[[Cidades ]],[1]!Tabela1[Gerente],0,0,1)</f>
        <v>Demais coordenadores</v>
      </c>
    </row>
    <row r="1395" spans="1:8" x14ac:dyDescent="0.3">
      <c r="A1395" s="9" t="s">
        <v>1415</v>
      </c>
      <c r="B1395" s="10" t="s">
        <v>12</v>
      </c>
      <c r="C1395" s="11">
        <v>45839</v>
      </c>
      <c r="D1395" s="12">
        <v>694166</v>
      </c>
      <c r="E1395" s="5" t="str">
        <f>_xlfn.XLOOKUP(D1395,[1]!Tabela24[Código consultor],[1]!Tabela24[Consultor Venda],0,0,1)</f>
        <v>DIG - CCO - CARINE CORREA SOARES</v>
      </c>
      <c r="F1395" s="5" t="str">
        <f>_xlfn.XLOOKUP(D1395,[1]!Tabela24[Código consultor],[1]!Tabela24[Canal Consultor],0,0,1)</f>
        <v>DIGITAL</v>
      </c>
      <c r="G1395" s="10" t="str">
        <f>_xlfn.XLOOKUP(B1395,[1]!Tabela1[[Cidades ]],[1]!Tabela1[Regional],0,0,1)</f>
        <v>Jean</v>
      </c>
      <c r="H1395" s="13" t="str">
        <f>_xlfn.XLOOKUP(B1395,[1]!Tabela1[[Cidades ]],[1]!Tabela1[Gerente],0,0,1)</f>
        <v>Demais coordenadores</v>
      </c>
    </row>
    <row r="1396" spans="1:8" x14ac:dyDescent="0.3">
      <c r="A1396" s="4" t="s">
        <v>1564</v>
      </c>
      <c r="B1396" s="5" t="s">
        <v>11</v>
      </c>
      <c r="C1396" s="6">
        <v>45839</v>
      </c>
      <c r="D1396" s="7">
        <v>600710</v>
      </c>
      <c r="E1396" s="5" t="str">
        <f>_xlfn.XLOOKUP(D1396,[1]!Tabela24[Código consultor],[1]!Tabela24[Consultor Venda],0,0,1)</f>
        <v>DIG - CCO - BRUNA BALBINOTTI</v>
      </c>
      <c r="F1396" s="5" t="str">
        <f>_xlfn.XLOOKUP(D1396,[1]!Tabela24[Código consultor],[1]!Tabela24[Canal Consultor],0,0,1)</f>
        <v>DIGITAL</v>
      </c>
      <c r="G1396" s="5" t="str">
        <f>_xlfn.XLOOKUP(B1396,[1]!Tabela1[[Cidades ]],[1]!Tabela1[Regional],0,0,1)</f>
        <v>Magno</v>
      </c>
      <c r="H1396" s="8" t="str">
        <f>_xlfn.XLOOKUP(B1396,[1]!Tabela1[[Cidades ]],[1]!Tabela1[Gerente],0,0,1)</f>
        <v>Demais coordenadores</v>
      </c>
    </row>
    <row r="1397" spans="1:8" x14ac:dyDescent="0.3">
      <c r="A1397" s="9" t="s">
        <v>1417</v>
      </c>
      <c r="B1397" s="10" t="s">
        <v>11</v>
      </c>
      <c r="C1397" s="11">
        <v>45839</v>
      </c>
      <c r="D1397" s="12">
        <v>788656</v>
      </c>
      <c r="E1397" s="5" t="str">
        <f>_xlfn.XLOOKUP(D1397,[1]!Tabela24[Código consultor],[1]!Tabela24[Consultor Venda],0,0,1)</f>
        <v>PAR - STB - PAP - JOY TELECOM - GABRIELA ALVES DE GODOY</v>
      </c>
      <c r="F1397" s="5" t="str">
        <f>_xlfn.XLOOKUP(D1397,[1]!Tabela24[Código consultor],[1]!Tabela24[Canal Consultor],0,0,1)</f>
        <v>PAR_DIG</v>
      </c>
      <c r="G1397" s="10" t="str">
        <f>_xlfn.XLOOKUP(B1397,[1]!Tabela1[[Cidades ]],[1]!Tabela1[Regional],0,0,1)</f>
        <v>Magno</v>
      </c>
      <c r="H1397" s="13" t="str">
        <f>_xlfn.XLOOKUP(B1397,[1]!Tabela1[[Cidades ]],[1]!Tabela1[Gerente],0,0,1)</f>
        <v>Demais coordenadores</v>
      </c>
    </row>
    <row r="1398" spans="1:8" x14ac:dyDescent="0.3">
      <c r="A1398" s="4" t="s">
        <v>1418</v>
      </c>
      <c r="B1398" s="5" t="s">
        <v>34</v>
      </c>
      <c r="C1398" s="6">
        <v>45839</v>
      </c>
      <c r="D1398" s="7">
        <v>738880</v>
      </c>
      <c r="E1398" s="5" t="str">
        <f>_xlfn.XLOOKUP(D1398,[1]!Tabela24[Código consultor],[1]!Tabela24[Consultor Venda],0,0,1)</f>
        <v>PAR - PAP - MUNDIALE - ANA LUIZA COUTO MATIAS</v>
      </c>
      <c r="F1398" s="5" t="str">
        <f>_xlfn.XLOOKUP(D1398,[1]!Tabela24[Código consultor],[1]!Tabela24[Canal Consultor],0,0,1)</f>
        <v>PAR_DIG</v>
      </c>
      <c r="G1398" s="5" t="str">
        <f>_xlfn.XLOOKUP(B1398,[1]!Tabela1[[Cidades ]],[1]!Tabela1[Regional],0,0,1)</f>
        <v>Alisson</v>
      </c>
      <c r="H1398" s="8" t="str">
        <f>_xlfn.XLOOKUP(B1398,[1]!Tabela1[[Cidades ]],[1]!Tabela1[Gerente],0,0,1)</f>
        <v>Karine</v>
      </c>
    </row>
    <row r="1399" spans="1:8" x14ac:dyDescent="0.3">
      <c r="A1399" s="9" t="s">
        <v>1420</v>
      </c>
      <c r="B1399" s="10" t="s">
        <v>46</v>
      </c>
      <c r="C1399" s="11">
        <v>45839</v>
      </c>
      <c r="D1399" s="12">
        <v>882331</v>
      </c>
      <c r="E1399" s="5" t="str">
        <f>_xlfn.XLOOKUP(D1399,[1]!Tabela24[Código consultor],[1]!Tabela24[Consultor Venda],0,0,1)</f>
        <v>DIG - CCO - SABRINA LUIZA BANDEIRA</v>
      </c>
      <c r="F1399" s="5" t="str">
        <f>_xlfn.XLOOKUP(D1399,[1]!Tabela24[Código consultor],[1]!Tabela24[Canal Consultor],0,0,1)</f>
        <v>DIGITAL</v>
      </c>
      <c r="G1399" s="10" t="str">
        <f>_xlfn.XLOOKUP(B1399,[1]!Tabela1[[Cidades ]],[1]!Tabela1[Regional],0,0,1)</f>
        <v>Magno</v>
      </c>
      <c r="H1399" s="13" t="str">
        <f>_xlfn.XLOOKUP(B1399,[1]!Tabela1[[Cidades ]],[1]!Tabela1[Gerente],0,0,1)</f>
        <v>Demais coordenadores</v>
      </c>
    </row>
    <row r="1400" spans="1:8" x14ac:dyDescent="0.3">
      <c r="A1400" s="4" t="s">
        <v>1097</v>
      </c>
      <c r="B1400" s="5" t="s">
        <v>32</v>
      </c>
      <c r="C1400" s="6">
        <v>45839</v>
      </c>
      <c r="D1400" s="7">
        <v>885453</v>
      </c>
      <c r="E1400" s="5" t="str">
        <f>_xlfn.XLOOKUP(D1400,[1]!Tabela24[Código consultor],[1]!Tabela24[Consultor Venda],0,0,1)</f>
        <v>COM - IGA - EMILY PRISCILA BRAZ VIANA</v>
      </c>
      <c r="F1400" s="5" t="str">
        <f>_xlfn.XLOOKUP(D1400,[1]!Tabela24[Código consultor],[1]!Tabela24[Canal Consultor],0,0,1)</f>
        <v>Pap</v>
      </c>
      <c r="G1400" s="5" t="str">
        <f>_xlfn.XLOOKUP(B1400,[1]!Tabela1[[Cidades ]],[1]!Tabela1[Regional],0,0,1)</f>
        <v>Jean</v>
      </c>
      <c r="H1400" s="8" t="str">
        <f>_xlfn.XLOOKUP(B1400,[1]!Tabela1[[Cidades ]],[1]!Tabela1[Gerente],0,0,1)</f>
        <v>Demais coordenadores</v>
      </c>
    </row>
    <row r="1401" spans="1:8" x14ac:dyDescent="0.3">
      <c r="A1401" s="9" t="s">
        <v>1423</v>
      </c>
      <c r="B1401" s="10" t="s">
        <v>37</v>
      </c>
      <c r="C1401" s="11">
        <v>45839</v>
      </c>
      <c r="D1401" s="12">
        <v>886911</v>
      </c>
      <c r="E1401" s="5" t="str">
        <f>_xlfn.XLOOKUP(D1401,[1]!Tabela24[Código consultor],[1]!Tabela24[Consultor Venda],0,0,1)</f>
        <v>COM - SOC - KAUAN ARAUJO SILVA</v>
      </c>
      <c r="F1401" s="5" t="str">
        <f>_xlfn.XLOOKUP(D1401,[1]!Tabela24[Código consultor],[1]!Tabela24[Canal Consultor],0,0,1)</f>
        <v>Pap</v>
      </c>
      <c r="G1401" s="10" t="str">
        <f>_xlfn.XLOOKUP(B1401,[1]!Tabela1[[Cidades ]],[1]!Tabela1[Regional],0,0,1)</f>
        <v>Jean</v>
      </c>
      <c r="H1401" s="13" t="str">
        <f>_xlfn.XLOOKUP(B1401,[1]!Tabela1[[Cidades ]],[1]!Tabela1[Gerente],0,0,1)</f>
        <v>Demais coordenadores</v>
      </c>
    </row>
    <row r="1402" spans="1:8" x14ac:dyDescent="0.3">
      <c r="A1402" s="4" t="s">
        <v>1565</v>
      </c>
      <c r="B1402" s="5" t="s">
        <v>18</v>
      </c>
      <c r="C1402" s="6">
        <v>45839</v>
      </c>
      <c r="D1402" s="7">
        <v>257754</v>
      </c>
      <c r="E1402" s="5" t="str">
        <f>_xlfn.XLOOKUP(D1402,[1]!Tabela24[Código consultor],[1]!Tabela24[Consultor Venda],0,0,1)</f>
        <v>COM - MVH - BRUNA LUISA SELZLER</v>
      </c>
      <c r="F1402" s="5" t="str">
        <f>_xlfn.XLOOKUP(D1402,[1]!Tabela24[Código consultor],[1]!Tabela24[Canal Consultor],0,0,1)</f>
        <v>INTERNO</v>
      </c>
      <c r="G1402" s="5" t="str">
        <f>_xlfn.XLOOKUP(B1402,[1]!Tabela1[[Cidades ]],[1]!Tabela1[Regional],0,0,1)</f>
        <v>Maycon</v>
      </c>
      <c r="H1402" s="8" t="str">
        <f>_xlfn.XLOOKUP(B1402,[1]!Tabela1[[Cidades ]],[1]!Tabela1[Gerente],0,0,1)</f>
        <v>Demais coordenadores</v>
      </c>
    </row>
    <row r="1403" spans="1:8" x14ac:dyDescent="0.3">
      <c r="A1403" s="9" t="s">
        <v>1426</v>
      </c>
      <c r="B1403" s="10" t="s">
        <v>11</v>
      </c>
      <c r="C1403" s="11">
        <v>45839</v>
      </c>
      <c r="D1403" s="12">
        <v>822704</v>
      </c>
      <c r="E1403" s="5" t="str">
        <f>_xlfn.XLOOKUP(D1403,[1]!Tabela24[Código consultor],[1]!Tabela24[Consultor Venda],0,0,1)</f>
        <v>PAR - PAP - V S MONTEIRO - VINICIUS SILVA MONTEIRO</v>
      </c>
      <c r="F1403" s="5" t="str">
        <f>_xlfn.XLOOKUP(D1403,[1]!Tabela24[Código consultor],[1]!Tabela24[Canal Consultor],0,0,1)</f>
        <v>PAR</v>
      </c>
      <c r="G1403" s="10" t="str">
        <f>_xlfn.XLOOKUP(B1403,[1]!Tabela1[[Cidades ]],[1]!Tabela1[Regional],0,0,1)</f>
        <v>Magno</v>
      </c>
      <c r="H1403" s="13" t="str">
        <f>_xlfn.XLOOKUP(B1403,[1]!Tabela1[[Cidades ]],[1]!Tabela1[Gerente],0,0,1)</f>
        <v>Demais coordenadores</v>
      </c>
    </row>
    <row r="1404" spans="1:8" x14ac:dyDescent="0.3">
      <c r="A1404" s="4" t="s">
        <v>1566</v>
      </c>
      <c r="B1404" s="5" t="s">
        <v>10</v>
      </c>
      <c r="C1404" s="6">
        <v>45839</v>
      </c>
      <c r="D1404" s="7">
        <v>525458</v>
      </c>
      <c r="E1404" s="5" t="str">
        <f>_xlfn.XLOOKUP(D1404,[1]!Tabela24[Código consultor],[1]!Tabela24[Consultor Venda],0,0,1)</f>
        <v>PAR - ADM - GRP - FIGUEREDO MOBILE  - JOSELIO O. P. JUNIOR</v>
      </c>
      <c r="F1404" s="5" t="str">
        <f>_xlfn.XLOOKUP(D1404,[1]!Tabela24[Código consultor],[1]!Tabela24[Canal Consultor],0,0,1)</f>
        <v>PAR</v>
      </c>
      <c r="G1404" s="5" t="str">
        <f>_xlfn.XLOOKUP(B1404,[1]!Tabela1[[Cidades ]],[1]!Tabela1[Regional],0,0,1)</f>
        <v>Jean</v>
      </c>
      <c r="H1404" s="8" t="str">
        <f>_xlfn.XLOOKUP(B1404,[1]!Tabela1[[Cidades ]],[1]!Tabela1[Gerente],0,0,1)</f>
        <v>Demais coordenadores</v>
      </c>
    </row>
    <row r="1405" spans="1:8" x14ac:dyDescent="0.3">
      <c r="A1405" s="9" t="s">
        <v>1567</v>
      </c>
      <c r="B1405" s="10" t="s">
        <v>81</v>
      </c>
      <c r="C1405" s="11">
        <v>45839</v>
      </c>
      <c r="D1405" s="12">
        <v>485228</v>
      </c>
      <c r="E1405" s="5" t="str">
        <f>_xlfn.XLOOKUP(D1405,[1]!Tabela24[Código consultor],[1]!Tabela24[Consultor Venda],0,0,1)</f>
        <v>COM - UMR - RAFAEL BAZZANELA CARDOSO DE SOUZA</v>
      </c>
      <c r="F1405" s="5" t="str">
        <f>_xlfn.XLOOKUP(D1405,[1]!Tabela24[Código consultor],[1]!Tabela24[Canal Consultor],0,0,1)</f>
        <v>INTERNO</v>
      </c>
      <c r="G1405" s="10" t="str">
        <f>_xlfn.XLOOKUP(B1405,[1]!Tabela1[[Cidades ]],[1]!Tabela1[Regional],0,0,1)</f>
        <v>Adilson</v>
      </c>
      <c r="H1405" s="13" t="str">
        <f>_xlfn.XLOOKUP(B1405,[1]!Tabela1[[Cidades ]],[1]!Tabela1[Gerente],0,0,1)</f>
        <v>Demais coordenadores</v>
      </c>
    </row>
    <row r="1406" spans="1:8" x14ac:dyDescent="0.3">
      <c r="A1406" s="4" t="s">
        <v>1429</v>
      </c>
      <c r="B1406" s="5" t="s">
        <v>10</v>
      </c>
      <c r="C1406" s="6">
        <v>45839</v>
      </c>
      <c r="D1406" s="7">
        <v>233138</v>
      </c>
      <c r="E1406" s="5" t="str">
        <f>_xlfn.XLOOKUP(D1406,[1]!Tabela24[Código consultor],[1]!Tabela24[Consultor Venda],0,0,1)</f>
        <v>PAR - INTE - GRP - MOBILE HD - ALINE KARNOSKI</v>
      </c>
      <c r="F1406" s="5" t="str">
        <f>_xlfn.XLOOKUP(D1406,[1]!Tabela24[Código consultor],[1]!Tabela24[Canal Consultor],0,0,1)</f>
        <v>PAR</v>
      </c>
      <c r="G1406" s="5" t="str">
        <f>_xlfn.XLOOKUP(B1406,[1]!Tabela1[[Cidades ]],[1]!Tabela1[Regional],0,0,1)</f>
        <v>Jean</v>
      </c>
      <c r="H1406" s="8" t="str">
        <f>_xlfn.XLOOKUP(B1406,[1]!Tabela1[[Cidades ]],[1]!Tabela1[Gerente],0,0,1)</f>
        <v>Demais coordenadores</v>
      </c>
    </row>
    <row r="1407" spans="1:8" x14ac:dyDescent="0.3">
      <c r="A1407" s="9" t="s">
        <v>1431</v>
      </c>
      <c r="B1407" s="10" t="s">
        <v>55</v>
      </c>
      <c r="C1407" s="11">
        <v>45839</v>
      </c>
      <c r="D1407" s="12">
        <v>872122</v>
      </c>
      <c r="E1407" s="5" t="str">
        <f>_xlfn.XLOOKUP(D1407,[1]!Tabela24[Código consultor],[1]!Tabela24[Consultor Venda],0,0,1)</f>
        <v>PAR - COM - JCA - TECNOSERVI - ELISA MERCADO SPIELMANN</v>
      </c>
      <c r="F1407" s="5" t="str">
        <f>_xlfn.XLOOKUP(D1407,[1]!Tabela24[Código consultor],[1]!Tabela24[Canal Consultor],0,0,1)</f>
        <v>PAR</v>
      </c>
      <c r="G1407" s="10" t="str">
        <f>_xlfn.XLOOKUP(B1407,[1]!Tabela1[[Cidades ]],[1]!Tabela1[Regional],0,0,1)</f>
        <v>Maycon</v>
      </c>
      <c r="H1407" s="13" t="str">
        <f>_xlfn.XLOOKUP(B1407,[1]!Tabela1[[Cidades ]],[1]!Tabela1[Gerente],0,0,1)</f>
        <v>Demais coordenadores</v>
      </c>
    </row>
    <row r="1408" spans="1:8" x14ac:dyDescent="0.3">
      <c r="A1408" s="4" t="s">
        <v>1568</v>
      </c>
      <c r="B1408" s="5" t="s">
        <v>22</v>
      </c>
      <c r="C1408" s="6">
        <v>45839</v>
      </c>
      <c r="D1408" s="7">
        <v>788656</v>
      </c>
      <c r="E1408" s="5" t="str">
        <f>_xlfn.XLOOKUP(D1408,[1]!Tabela24[Código consultor],[1]!Tabela24[Consultor Venda],0,0,1)</f>
        <v>PAR - STB - PAP - JOY TELECOM - GABRIELA ALVES DE GODOY</v>
      </c>
      <c r="F1408" s="5" t="str">
        <f>_xlfn.XLOOKUP(D1408,[1]!Tabela24[Código consultor],[1]!Tabela24[Canal Consultor],0,0,1)</f>
        <v>PAR_DIG</v>
      </c>
      <c r="G1408" s="5" t="str">
        <f>_xlfn.XLOOKUP(B1408,[1]!Tabela1[[Cidades ]],[1]!Tabela1[Regional],0,0,1)</f>
        <v>Magno</v>
      </c>
      <c r="H1408" s="8" t="str">
        <f>_xlfn.XLOOKUP(B1408,[1]!Tabela1[[Cidades ]],[1]!Tabela1[Gerente],0,0,1)</f>
        <v>Demais coordenadores</v>
      </c>
    </row>
    <row r="1409" spans="1:8" x14ac:dyDescent="0.3">
      <c r="A1409" s="9" t="s">
        <v>1569</v>
      </c>
      <c r="B1409" s="10" t="s">
        <v>12</v>
      </c>
      <c r="C1409" s="11">
        <v>45839</v>
      </c>
      <c r="D1409" s="12">
        <v>788656</v>
      </c>
      <c r="E1409" s="5" t="str">
        <f>_xlfn.XLOOKUP(D1409,[1]!Tabela24[Código consultor],[1]!Tabela24[Consultor Venda],0,0,1)</f>
        <v>PAR - STB - PAP - JOY TELECOM - GABRIELA ALVES DE GODOY</v>
      </c>
      <c r="F1409" s="5" t="str">
        <f>_xlfn.XLOOKUP(D1409,[1]!Tabela24[Código consultor],[1]!Tabela24[Canal Consultor],0,0,1)</f>
        <v>PAR_DIG</v>
      </c>
      <c r="G1409" s="10" t="str">
        <f>_xlfn.XLOOKUP(B1409,[1]!Tabela1[[Cidades ]],[1]!Tabela1[Regional],0,0,1)</f>
        <v>Jean</v>
      </c>
      <c r="H1409" s="13" t="str">
        <f>_xlfn.XLOOKUP(B1409,[1]!Tabela1[[Cidades ]],[1]!Tabela1[Gerente],0,0,1)</f>
        <v>Demais coordenadores</v>
      </c>
    </row>
    <row r="1410" spans="1:8" x14ac:dyDescent="0.3">
      <c r="A1410" s="4" t="s">
        <v>1570</v>
      </c>
      <c r="B1410" s="5" t="s">
        <v>10</v>
      </c>
      <c r="C1410" s="6">
        <v>45839</v>
      </c>
      <c r="D1410" s="7">
        <v>788656</v>
      </c>
      <c r="E1410" s="5" t="str">
        <f>_xlfn.XLOOKUP(D1410,[1]!Tabela24[Código consultor],[1]!Tabela24[Consultor Venda],0,0,1)</f>
        <v>PAR - STB - PAP - JOY TELECOM - GABRIELA ALVES DE GODOY</v>
      </c>
      <c r="F1410" s="5" t="str">
        <f>_xlfn.XLOOKUP(D1410,[1]!Tabela24[Código consultor],[1]!Tabela24[Canal Consultor],0,0,1)</f>
        <v>PAR_DIG</v>
      </c>
      <c r="G1410" s="5" t="str">
        <f>_xlfn.XLOOKUP(B1410,[1]!Tabela1[[Cidades ]],[1]!Tabela1[Regional],0,0,1)</f>
        <v>Jean</v>
      </c>
      <c r="H1410" s="8" t="str">
        <f>_xlfn.XLOOKUP(B1410,[1]!Tabela1[[Cidades ]],[1]!Tabela1[Gerente],0,0,1)</f>
        <v>Demais coordenadores</v>
      </c>
    </row>
    <row r="1411" spans="1:8" x14ac:dyDescent="0.3">
      <c r="A1411" s="9" t="s">
        <v>1571</v>
      </c>
      <c r="B1411" s="10" t="s">
        <v>13</v>
      </c>
      <c r="C1411" s="11">
        <v>45839</v>
      </c>
      <c r="D1411" s="12">
        <v>825133</v>
      </c>
      <c r="E1411" s="5" t="str">
        <f>_xlfn.XLOOKUP(D1411,[1]!Tabela24[Código consultor],[1]!Tabela24[Consultor Venda],0,0,1)</f>
        <v>COM - PAS - PAOLA PERREIRA OLIVEIRA</v>
      </c>
      <c r="F1411" s="5" t="str">
        <f>_xlfn.XLOOKUP(D1411,[1]!Tabela24[Código consultor],[1]!Tabela24[Canal Consultor],0,0,1)</f>
        <v>Pap</v>
      </c>
      <c r="G1411" s="10" t="str">
        <f>_xlfn.XLOOKUP(B1411,[1]!Tabela1[[Cidades ]],[1]!Tabela1[Regional],0,0,1)</f>
        <v>Alisson</v>
      </c>
      <c r="H1411" s="13" t="str">
        <f>_xlfn.XLOOKUP(B1411,[1]!Tabela1[[Cidades ]],[1]!Tabela1[Gerente],0,0,1)</f>
        <v>Ariana</v>
      </c>
    </row>
    <row r="1412" spans="1:8" x14ac:dyDescent="0.3">
      <c r="A1412" s="4" t="s">
        <v>1572</v>
      </c>
      <c r="B1412" s="5" t="s">
        <v>10</v>
      </c>
      <c r="C1412" s="6">
        <v>45839</v>
      </c>
      <c r="D1412" s="7">
        <v>525458</v>
      </c>
      <c r="E1412" s="5" t="str">
        <f>_xlfn.XLOOKUP(D1412,[1]!Tabela24[Código consultor],[1]!Tabela24[Consultor Venda],0,0,1)</f>
        <v>PAR - ADM - GRP - FIGUEREDO MOBILE  - JOSELIO O. P. JUNIOR</v>
      </c>
      <c r="F1412" s="5" t="str">
        <f>_xlfn.XLOOKUP(D1412,[1]!Tabela24[Código consultor],[1]!Tabela24[Canal Consultor],0,0,1)</f>
        <v>PAR</v>
      </c>
      <c r="G1412" s="5" t="str">
        <f>_xlfn.XLOOKUP(B1412,[1]!Tabela1[[Cidades ]],[1]!Tabela1[Regional],0,0,1)</f>
        <v>Jean</v>
      </c>
      <c r="H1412" s="8" t="str">
        <f>_xlfn.XLOOKUP(B1412,[1]!Tabela1[[Cidades ]],[1]!Tabela1[Gerente],0,0,1)</f>
        <v>Demais coordenadores</v>
      </c>
    </row>
    <row r="1413" spans="1:8" x14ac:dyDescent="0.3">
      <c r="A1413" s="9" t="s">
        <v>1439</v>
      </c>
      <c r="B1413" s="10" t="s">
        <v>31</v>
      </c>
      <c r="C1413" s="11">
        <v>45839</v>
      </c>
      <c r="D1413" s="12">
        <v>788656</v>
      </c>
      <c r="E1413" s="5" t="str">
        <f>_xlfn.XLOOKUP(D1413,[1]!Tabela24[Código consultor],[1]!Tabela24[Consultor Venda],0,0,1)</f>
        <v>PAR - STB - PAP - JOY TELECOM - GABRIELA ALVES DE GODOY</v>
      </c>
      <c r="F1413" s="5" t="str">
        <f>_xlfn.XLOOKUP(D1413,[1]!Tabela24[Código consultor],[1]!Tabela24[Canal Consultor],0,0,1)</f>
        <v>PAR_DIG</v>
      </c>
      <c r="G1413" s="10" t="str">
        <f>_xlfn.XLOOKUP(B1413,[1]!Tabela1[[Cidades ]],[1]!Tabela1[Regional],0,0,1)</f>
        <v>Maycon</v>
      </c>
      <c r="H1413" s="13" t="str">
        <f>_xlfn.XLOOKUP(B1413,[1]!Tabela1[[Cidades ]],[1]!Tabela1[Gerente],0,0,1)</f>
        <v>Demais coordenadores</v>
      </c>
    </row>
    <row r="1414" spans="1:8" x14ac:dyDescent="0.3">
      <c r="A1414" s="4" t="s">
        <v>1441</v>
      </c>
      <c r="B1414" s="5" t="s">
        <v>22</v>
      </c>
      <c r="C1414" s="6">
        <v>45839</v>
      </c>
      <c r="D1414" s="7">
        <v>736256</v>
      </c>
      <c r="E1414" s="5" t="str">
        <f>_xlfn.XLOOKUP(D1414,[1]!Tabela24[Código consultor],[1]!Tabela24[Consultor Venda],0,0,1)</f>
        <v>COM - SCR - JANICE CRISTINA RODRIGUES</v>
      </c>
      <c r="F1414" s="5" t="str">
        <f>_xlfn.XLOOKUP(D1414,[1]!Tabela24[Código consultor],[1]!Tabela24[Canal Consultor],0,0,1)</f>
        <v>INTERNO</v>
      </c>
      <c r="G1414" s="5" t="str">
        <f>_xlfn.XLOOKUP(B1414,[1]!Tabela1[[Cidades ]],[1]!Tabela1[Regional],0,0,1)</f>
        <v>Magno</v>
      </c>
      <c r="H1414" s="8" t="str">
        <f>_xlfn.XLOOKUP(B1414,[1]!Tabela1[[Cidades ]],[1]!Tabela1[Gerente],0,0,1)</f>
        <v>Demais coordenadores</v>
      </c>
    </row>
    <row r="1415" spans="1:8" x14ac:dyDescent="0.3">
      <c r="A1415" s="9" t="s">
        <v>1442</v>
      </c>
      <c r="B1415" s="10" t="s">
        <v>10</v>
      </c>
      <c r="C1415" s="11">
        <v>45839</v>
      </c>
      <c r="D1415" s="12">
        <v>197832</v>
      </c>
      <c r="E1415" s="5" t="str">
        <f>_xlfn.XLOOKUP(D1415,[1]!Tabela24[Código consultor],[1]!Tabela24[Consultor Venda],0,0,1)</f>
        <v>DIG - CCO - RAIANE BERGAMIN</v>
      </c>
      <c r="F1415" s="5" t="str">
        <f>_xlfn.XLOOKUP(D1415,[1]!Tabela24[Código consultor],[1]!Tabela24[Canal Consultor],0,0,1)</f>
        <v>DIGITAL</v>
      </c>
      <c r="G1415" s="10" t="str">
        <f>_xlfn.XLOOKUP(B1415,[1]!Tabela1[[Cidades ]],[1]!Tabela1[Regional],0,0,1)</f>
        <v>Jean</v>
      </c>
      <c r="H1415" s="13" t="str">
        <f>_xlfn.XLOOKUP(B1415,[1]!Tabela1[[Cidades ]],[1]!Tabela1[Gerente],0,0,1)</f>
        <v>Demais coordenadores</v>
      </c>
    </row>
    <row r="1416" spans="1:8" x14ac:dyDescent="0.3">
      <c r="A1416" s="4" t="s">
        <v>1444</v>
      </c>
      <c r="B1416" s="5" t="s">
        <v>18</v>
      </c>
      <c r="C1416" s="6">
        <v>45839</v>
      </c>
      <c r="D1416" s="7">
        <v>801750</v>
      </c>
      <c r="E1416" s="5" t="str">
        <f>_xlfn.XLOOKUP(D1416,[1]!Tabela24[Código consultor],[1]!Tabela24[Consultor Venda],0,0,1)</f>
        <v>COM - MVH - CAROLINE THAIS GONSALVES</v>
      </c>
      <c r="F1416" s="5" t="str">
        <f>_xlfn.XLOOKUP(D1416,[1]!Tabela24[Código consultor],[1]!Tabela24[Canal Consultor],0,0,1)</f>
        <v>INTERNO</v>
      </c>
      <c r="G1416" s="5" t="str">
        <f>_xlfn.XLOOKUP(B1416,[1]!Tabela1[[Cidades ]],[1]!Tabela1[Regional],0,0,1)</f>
        <v>Maycon</v>
      </c>
      <c r="H1416" s="8" t="str">
        <f>_xlfn.XLOOKUP(B1416,[1]!Tabela1[[Cidades ]],[1]!Tabela1[Gerente],0,0,1)</f>
        <v>Demais coordenadores</v>
      </c>
    </row>
    <row r="1417" spans="1:8" x14ac:dyDescent="0.3">
      <c r="A1417" s="9" t="s">
        <v>1447</v>
      </c>
      <c r="B1417" s="10" t="s">
        <v>66</v>
      </c>
      <c r="C1417" s="11">
        <v>45839</v>
      </c>
      <c r="D1417" s="12">
        <v>870195</v>
      </c>
      <c r="E1417" s="5" t="str">
        <f>_xlfn.XLOOKUP(D1417,[1]!Tabela24[Código consultor],[1]!Tabela24[Consultor Venda],0,0,1)</f>
        <v>COM - FNS - AMINE DE OLIVEIRA VENTURA</v>
      </c>
      <c r="F1417" s="5" t="str">
        <f>_xlfn.XLOOKUP(D1417,[1]!Tabela24[Código consultor],[1]!Tabela24[Canal Consultor],0,0,1)</f>
        <v>Pap</v>
      </c>
      <c r="G1417" s="10" t="str">
        <f>_xlfn.XLOOKUP(B1417,[1]!Tabela1[[Cidades ]],[1]!Tabela1[Regional],0,0,1)</f>
        <v>Marcio</v>
      </c>
      <c r="H1417" s="13" t="str">
        <f>_xlfn.XLOOKUP(B1417,[1]!Tabela1[[Cidades ]],[1]!Tabela1[Gerente],0,0,1)</f>
        <v>Demais coordenadores</v>
      </c>
    </row>
    <row r="1418" spans="1:8" x14ac:dyDescent="0.3">
      <c r="A1418" s="4" t="s">
        <v>1573</v>
      </c>
      <c r="B1418" s="5" t="s">
        <v>11</v>
      </c>
      <c r="C1418" s="6">
        <v>45839</v>
      </c>
      <c r="D1418" s="7">
        <v>861705</v>
      </c>
      <c r="E1418" s="5" t="str">
        <f>_xlfn.XLOOKUP(D1418,[1]!Tabela24[Código consultor],[1]!Tabela24[Consultor Venda],0,0,1)</f>
        <v>PAR - COM - PAP - TQR - ERIKA DE OLIVEIRA GALLE</v>
      </c>
      <c r="F1418" s="5" t="str">
        <f>_xlfn.XLOOKUP(D1418,[1]!Tabela24[Código consultor],[1]!Tabela24[Canal Consultor],0,0,1)</f>
        <v>PAR</v>
      </c>
      <c r="G1418" s="5" t="str">
        <f>_xlfn.XLOOKUP(B1418,[1]!Tabela1[[Cidades ]],[1]!Tabela1[Regional],0,0,1)</f>
        <v>Magno</v>
      </c>
      <c r="H1418" s="8" t="str">
        <f>_xlfn.XLOOKUP(B1418,[1]!Tabela1[[Cidades ]],[1]!Tabela1[Gerente],0,0,1)</f>
        <v>Demais coordenadores</v>
      </c>
    </row>
    <row r="1419" spans="1:8" x14ac:dyDescent="0.3">
      <c r="A1419" s="9" t="s">
        <v>1574</v>
      </c>
      <c r="B1419" s="10" t="s">
        <v>10</v>
      </c>
      <c r="C1419" s="11">
        <v>45839</v>
      </c>
      <c r="D1419" s="12">
        <v>562578</v>
      </c>
      <c r="E1419" s="5" t="str">
        <f>_xlfn.XLOOKUP(D1419,[1]!Tabela24[Código consultor],[1]!Tabela24[Consultor Venda],0,0,1)</f>
        <v>PAR - GRP - COM - MOBILE - JOANA ISABELA DILGER</v>
      </c>
      <c r="F1419" s="5" t="str">
        <f>_xlfn.XLOOKUP(D1419,[1]!Tabela24[Código consultor],[1]!Tabela24[Canal Consultor],0,0,1)</f>
        <v>par</v>
      </c>
      <c r="G1419" s="10" t="str">
        <f>_xlfn.XLOOKUP(B1419,[1]!Tabela1[[Cidades ]],[1]!Tabela1[Regional],0,0,1)</f>
        <v>Jean</v>
      </c>
      <c r="H1419" s="13" t="str">
        <f>_xlfn.XLOOKUP(B1419,[1]!Tabela1[[Cidades ]],[1]!Tabela1[Gerente],0,0,1)</f>
        <v>Demais coordenadores</v>
      </c>
    </row>
    <row r="1420" spans="1:8" x14ac:dyDescent="0.3">
      <c r="A1420" s="4" t="s">
        <v>1452</v>
      </c>
      <c r="B1420" s="5" t="s">
        <v>12</v>
      </c>
      <c r="C1420" s="6">
        <v>45839</v>
      </c>
      <c r="D1420" s="7">
        <v>882331</v>
      </c>
      <c r="E1420" s="5" t="str">
        <f>_xlfn.XLOOKUP(D1420,[1]!Tabela24[Código consultor],[1]!Tabela24[Consultor Venda],0,0,1)</f>
        <v>DIG - CCO - SABRINA LUIZA BANDEIRA</v>
      </c>
      <c r="F1420" s="5" t="str">
        <f>_xlfn.XLOOKUP(D1420,[1]!Tabela24[Código consultor],[1]!Tabela24[Canal Consultor],0,0,1)</f>
        <v>DIGITAL</v>
      </c>
      <c r="G1420" s="5" t="str">
        <f>_xlfn.XLOOKUP(B1420,[1]!Tabela1[[Cidades ]],[1]!Tabela1[Regional],0,0,1)</f>
        <v>Jean</v>
      </c>
      <c r="H1420" s="8" t="str">
        <f>_xlfn.XLOOKUP(B1420,[1]!Tabela1[[Cidades ]],[1]!Tabela1[Gerente],0,0,1)</f>
        <v>Demais coordenadores</v>
      </c>
    </row>
    <row r="1421" spans="1:8" x14ac:dyDescent="0.3">
      <c r="A1421" s="9" t="s">
        <v>1456</v>
      </c>
      <c r="B1421" s="10" t="s">
        <v>59</v>
      </c>
      <c r="C1421" s="11">
        <v>45839</v>
      </c>
      <c r="D1421" s="12">
        <v>827465</v>
      </c>
      <c r="E1421" s="5" t="str">
        <f>_xlfn.XLOOKUP(D1421,[1]!Tabela24[Código consultor],[1]!Tabela24[Consultor Venda],0,0,1)</f>
        <v>DIG - ATV - TAINARA RODRIGUES CORDEIRO</v>
      </c>
      <c r="F1421" s="5" t="str">
        <f>_xlfn.XLOOKUP(D1421,[1]!Tabela24[Código consultor],[1]!Tabela24[Canal Consultor],0,0,1)</f>
        <v>Televendas Ativo</v>
      </c>
      <c r="G1421" s="10" t="str">
        <f>_xlfn.XLOOKUP(B1421,[1]!Tabela1[[Cidades ]],[1]!Tabela1[Regional],0,0,1)</f>
        <v>Adilson</v>
      </c>
      <c r="H1421" s="13" t="str">
        <f>_xlfn.XLOOKUP(B1421,[1]!Tabela1[[Cidades ]],[1]!Tabela1[Gerente],0,0,1)</f>
        <v>Demais coordenadores</v>
      </c>
    </row>
    <row r="1422" spans="1:8" x14ac:dyDescent="0.3">
      <c r="A1422" s="4" t="s">
        <v>1461</v>
      </c>
      <c r="B1422" s="5" t="s">
        <v>24</v>
      </c>
      <c r="C1422" s="6">
        <v>45839</v>
      </c>
      <c r="D1422" s="7">
        <v>870012</v>
      </c>
      <c r="E1422" s="5" t="str">
        <f>_xlfn.XLOOKUP(D1422,[1]!Tabela24[Código consultor],[1]!Tabela24[Consultor Venda],0,0,1)</f>
        <v>COM - SMA - LUIZ EDUARDO DOS SANTOS LOPES COLLARES</v>
      </c>
      <c r="F1422" s="5" t="str">
        <f>_xlfn.XLOOKUP(D1422,[1]!Tabela24[Código consultor],[1]!Tabela24[Canal Consultor],0,0,1)</f>
        <v>Pap</v>
      </c>
      <c r="G1422" s="5" t="str">
        <f>_xlfn.XLOOKUP(B1422,[1]!Tabela1[[Cidades ]],[1]!Tabela1[Regional],0,0,1)</f>
        <v>Magno</v>
      </c>
      <c r="H1422" s="8" t="str">
        <f>_xlfn.XLOOKUP(B1422,[1]!Tabela1[[Cidades ]],[1]!Tabela1[Gerente],0,0,1)</f>
        <v>Demais coordenadores</v>
      </c>
    </row>
    <row r="1423" spans="1:8" x14ac:dyDescent="0.3">
      <c r="A1423" s="9" t="s">
        <v>1463</v>
      </c>
      <c r="B1423" s="10" t="s">
        <v>32</v>
      </c>
      <c r="C1423" s="11">
        <v>45839</v>
      </c>
      <c r="D1423" s="12">
        <v>610972</v>
      </c>
      <c r="E1423" s="5" t="str">
        <f>_xlfn.XLOOKUP(D1423,[1]!Tabela24[Código consultor],[1]!Tabela24[Consultor Venda],0,0,1)</f>
        <v>COM - CPB - MARINARA SOUZA DE OLIVEIRA</v>
      </c>
      <c r="F1423" s="5" t="str">
        <f>_xlfn.XLOOKUP(D1423,[1]!Tabela24[Código consultor],[1]!Tabela24[Canal Consultor],0,0,1)</f>
        <v>INTERNO</v>
      </c>
      <c r="G1423" s="10" t="str">
        <f>_xlfn.XLOOKUP(B1423,[1]!Tabela1[[Cidades ]],[1]!Tabela1[Regional],0,0,1)</f>
        <v>Jean</v>
      </c>
      <c r="H1423" s="13" t="str">
        <f>_xlfn.XLOOKUP(B1423,[1]!Tabela1[[Cidades ]],[1]!Tabela1[Gerente],0,0,1)</f>
        <v>Demais coordenadores</v>
      </c>
    </row>
    <row r="1424" spans="1:8" x14ac:dyDescent="0.3">
      <c r="A1424" s="4" t="s">
        <v>1464</v>
      </c>
      <c r="B1424" s="5" t="s">
        <v>31</v>
      </c>
      <c r="C1424" s="6">
        <v>45839</v>
      </c>
      <c r="D1424" s="7">
        <v>197832</v>
      </c>
      <c r="E1424" s="5" t="str">
        <f>_xlfn.XLOOKUP(D1424,[1]!Tabela24[Código consultor],[1]!Tabela24[Consultor Venda],0,0,1)</f>
        <v>DIG - CCO - RAIANE BERGAMIN</v>
      </c>
      <c r="F1424" s="5" t="str">
        <f>_xlfn.XLOOKUP(D1424,[1]!Tabela24[Código consultor],[1]!Tabela24[Canal Consultor],0,0,1)</f>
        <v>DIGITAL</v>
      </c>
      <c r="G1424" s="5" t="str">
        <f>_xlfn.XLOOKUP(B1424,[1]!Tabela1[[Cidades ]],[1]!Tabela1[Regional],0,0,1)</f>
        <v>Maycon</v>
      </c>
      <c r="H1424" s="8" t="str">
        <f>_xlfn.XLOOKUP(B1424,[1]!Tabela1[[Cidades ]],[1]!Tabela1[Gerente],0,0,1)</f>
        <v>Demais coordenadores</v>
      </c>
    </row>
    <row r="1425" spans="1:8" x14ac:dyDescent="0.3">
      <c r="A1425" s="9" t="s">
        <v>1465</v>
      </c>
      <c r="B1425" s="10" t="s">
        <v>71</v>
      </c>
      <c r="C1425" s="11">
        <v>45839</v>
      </c>
      <c r="D1425" s="12">
        <v>788656</v>
      </c>
      <c r="E1425" s="5" t="str">
        <f>_xlfn.XLOOKUP(D1425,[1]!Tabela24[Código consultor],[1]!Tabela24[Consultor Venda],0,0,1)</f>
        <v>PAR - STB - PAP - JOY TELECOM - GABRIELA ALVES DE GODOY</v>
      </c>
      <c r="F1425" s="5" t="str">
        <f>_xlfn.XLOOKUP(D1425,[1]!Tabela24[Código consultor],[1]!Tabela24[Canal Consultor],0,0,1)</f>
        <v>PAR_DIG</v>
      </c>
      <c r="G1425" s="10" t="str">
        <f>_xlfn.XLOOKUP(B1425,[1]!Tabela1[[Cidades ]],[1]!Tabela1[Regional],0,0,1)</f>
        <v>Jean</v>
      </c>
      <c r="H1425" s="13" t="str">
        <f>_xlfn.XLOOKUP(B1425,[1]!Tabela1[[Cidades ]],[1]!Tabela1[Gerente],0,0,1)</f>
        <v>Demais coordenadores</v>
      </c>
    </row>
    <row r="1426" spans="1:8" x14ac:dyDescent="0.3">
      <c r="A1426" s="4" t="s">
        <v>1575</v>
      </c>
      <c r="B1426" s="5" t="s">
        <v>70</v>
      </c>
      <c r="C1426" s="6">
        <v>45839</v>
      </c>
      <c r="D1426" s="7">
        <v>883819</v>
      </c>
      <c r="E1426" s="5" t="str">
        <f>_xlfn.XLOOKUP(D1426,[1]!Tabela24[Código consultor],[1]!Tabela24[Consultor Venda],0,0,1)</f>
        <v>COM - PAS - MARIA LUIZA NECHER DA SILVEIRA</v>
      </c>
      <c r="F1426" s="5" t="str">
        <f>_xlfn.XLOOKUP(D1426,[1]!Tabela24[Código consultor],[1]!Tabela24[Canal Consultor],0,0,1)</f>
        <v>INTERNO</v>
      </c>
      <c r="G1426" s="5" t="str">
        <f>_xlfn.XLOOKUP(B1426,[1]!Tabela1[[Cidades ]],[1]!Tabela1[Regional],0,0,1)</f>
        <v>Alisson</v>
      </c>
      <c r="H1426" s="8" t="str">
        <f>_xlfn.XLOOKUP(B1426,[1]!Tabela1[[Cidades ]],[1]!Tabela1[Gerente],0,0,1)</f>
        <v>Ariana</v>
      </c>
    </row>
    <row r="1427" spans="1:8" x14ac:dyDescent="0.3">
      <c r="A1427" s="9" t="s">
        <v>1472</v>
      </c>
      <c r="B1427" s="10" t="s">
        <v>60</v>
      </c>
      <c r="C1427" s="11">
        <v>45839</v>
      </c>
      <c r="D1427" s="12">
        <v>878848</v>
      </c>
      <c r="E1427" s="5" t="str">
        <f>_xlfn.XLOOKUP(D1427,[1]!Tabela24[Código consultor],[1]!Tabela24[Consultor Venda],0,0,1)</f>
        <v>COM - CHN - MATHEUS ALFREDO MACEDO</v>
      </c>
      <c r="F1427" s="5" t="str">
        <f>_xlfn.XLOOKUP(D1427,[1]!Tabela24[Código consultor],[1]!Tabela24[Canal Consultor],0,0,1)</f>
        <v>Pap</v>
      </c>
      <c r="G1427" s="10" t="str">
        <f>_xlfn.XLOOKUP(B1427,[1]!Tabela1[[Cidades ]],[1]!Tabela1[Regional],0,0,1)</f>
        <v>Magno</v>
      </c>
      <c r="H1427" s="13" t="str">
        <f>_xlfn.XLOOKUP(B1427,[1]!Tabela1[[Cidades ]],[1]!Tabela1[Gerente],0,0,1)</f>
        <v>Demais coordenadores</v>
      </c>
    </row>
    <row r="1428" spans="1:8" x14ac:dyDescent="0.3">
      <c r="A1428" s="4" t="s">
        <v>1576</v>
      </c>
      <c r="B1428" s="5" t="s">
        <v>10</v>
      </c>
      <c r="C1428" s="6">
        <v>45839</v>
      </c>
      <c r="D1428" s="7">
        <v>233138</v>
      </c>
      <c r="E1428" s="5" t="str">
        <f>_xlfn.XLOOKUP(D1428,[1]!Tabela24[Código consultor],[1]!Tabela24[Consultor Venda],0,0,1)</f>
        <v>PAR - INTE - GRP - MOBILE HD - ALINE KARNOSKI</v>
      </c>
      <c r="F1428" s="5" t="str">
        <f>_xlfn.XLOOKUP(D1428,[1]!Tabela24[Código consultor],[1]!Tabela24[Canal Consultor],0,0,1)</f>
        <v>PAR</v>
      </c>
      <c r="G1428" s="5" t="str">
        <f>_xlfn.XLOOKUP(B1428,[1]!Tabela1[[Cidades ]],[1]!Tabela1[Regional],0,0,1)</f>
        <v>Jean</v>
      </c>
      <c r="H1428" s="8" t="str">
        <f>_xlfn.XLOOKUP(B1428,[1]!Tabela1[[Cidades ]],[1]!Tabela1[Gerente],0,0,1)</f>
        <v>Demais coordenadores</v>
      </c>
    </row>
    <row r="1429" spans="1:8" x14ac:dyDescent="0.3">
      <c r="A1429" s="9" t="s">
        <v>1474</v>
      </c>
      <c r="B1429" s="10" t="s">
        <v>33</v>
      </c>
      <c r="C1429" s="11">
        <v>45839</v>
      </c>
      <c r="D1429" s="12">
        <v>177442</v>
      </c>
      <c r="E1429" s="5" t="str">
        <f>_xlfn.XLOOKUP(D1429,[1]!Tabela24[Código consultor],[1]!Tabela24[Consultor Venda],0,0,1)</f>
        <v>COM - XXE - MARCOS MEZZOMO</v>
      </c>
      <c r="F1429" s="5" t="str">
        <f>_xlfn.XLOOKUP(D1429,[1]!Tabela24[Código consultor],[1]!Tabela24[Canal Consultor],0,0,1)</f>
        <v>Pap</v>
      </c>
      <c r="G1429" s="10" t="str">
        <f>_xlfn.XLOOKUP(B1429,[1]!Tabela1[[Cidades ]],[1]!Tabela1[Regional],0,0,1)</f>
        <v>Maycon</v>
      </c>
      <c r="H1429" s="13" t="str">
        <f>_xlfn.XLOOKUP(B1429,[1]!Tabela1[[Cidades ]],[1]!Tabela1[Gerente],0,0,1)</f>
        <v>Demais coordenadores</v>
      </c>
    </row>
    <row r="1430" spans="1:8" x14ac:dyDescent="0.3">
      <c r="A1430" s="4" t="s">
        <v>1577</v>
      </c>
      <c r="B1430" s="5" t="s">
        <v>97</v>
      </c>
      <c r="C1430" s="6">
        <v>45839</v>
      </c>
      <c r="D1430" s="7">
        <v>869886</v>
      </c>
      <c r="E1430" s="5" t="str">
        <f>_xlfn.XLOOKUP(D1430,[1]!Tabela24[Código consultor],[1]!Tabela24[Consultor Venda],0,0,1)</f>
        <v>COM - CIO - DALISON HENRIQUE DOS SANTOS</v>
      </c>
      <c r="F1430" s="5" t="str">
        <f>_xlfn.XLOOKUP(D1430,[1]!Tabela24[Código consultor],[1]!Tabela24[Canal Consultor],0,0,1)</f>
        <v>Pap</v>
      </c>
      <c r="G1430" s="5" t="str">
        <f>_xlfn.XLOOKUP(B1430,[1]!Tabela1[[Cidades ]],[1]!Tabela1[Regional],0,0,1)</f>
        <v>Alisson</v>
      </c>
      <c r="H1430" s="8" t="str">
        <f>_xlfn.XLOOKUP(B1430,[1]!Tabela1[[Cidades ]],[1]!Tabela1[Gerente],0,0,1)</f>
        <v>Helena</v>
      </c>
    </row>
    <row r="1431" spans="1:8" x14ac:dyDescent="0.3">
      <c r="A1431" s="9" t="s">
        <v>1475</v>
      </c>
      <c r="B1431" s="10" t="s">
        <v>24</v>
      </c>
      <c r="C1431" s="11">
        <v>45839</v>
      </c>
      <c r="D1431" s="12">
        <v>884897</v>
      </c>
      <c r="E1431" s="5" t="str">
        <f>_xlfn.XLOOKUP(D1431,[1]!Tabela24[Código consultor],[1]!Tabela24[Consultor Venda],0,0,1)</f>
        <v>COM - SMA - WILLIAN BRENO DE OLIVEIRA ANTUNES</v>
      </c>
      <c r="F1431" s="5" t="str">
        <f>_xlfn.XLOOKUP(D1431,[1]!Tabela24[Código consultor],[1]!Tabela24[Canal Consultor],0,0,1)</f>
        <v>Pap</v>
      </c>
      <c r="G1431" s="10" t="str">
        <f>_xlfn.XLOOKUP(B1431,[1]!Tabela1[[Cidades ]],[1]!Tabela1[Regional],0,0,1)</f>
        <v>Magno</v>
      </c>
      <c r="H1431" s="13" t="str">
        <f>_xlfn.XLOOKUP(B1431,[1]!Tabela1[[Cidades ]],[1]!Tabela1[Gerente],0,0,1)</f>
        <v>Demais coordenadores</v>
      </c>
    </row>
    <row r="1432" spans="1:8" x14ac:dyDescent="0.3">
      <c r="A1432" s="4" t="s">
        <v>1477</v>
      </c>
      <c r="B1432" s="5" t="s">
        <v>27</v>
      </c>
      <c r="C1432" s="6">
        <v>45839</v>
      </c>
      <c r="D1432" s="7">
        <v>172141</v>
      </c>
      <c r="E1432" s="5" t="str">
        <f>_xlfn.XLOOKUP(D1432,[1]!Tabela24[Código consultor],[1]!Tabela24[Consultor Venda],0,0,1)</f>
        <v>COM - VAA - KETELLE PEDROSO DA CONCEICAO</v>
      </c>
      <c r="F1432" s="5" t="str">
        <f>_xlfn.XLOOKUP(D1432,[1]!Tabela24[Código consultor],[1]!Tabela24[Canal Consultor],0,0,1)</f>
        <v>INTERNO</v>
      </c>
      <c r="G1432" s="5" t="str">
        <f>_xlfn.XLOOKUP(B1432,[1]!Tabela1[[Cidades ]],[1]!Tabela1[Regional],0,0,1)</f>
        <v>Alisson</v>
      </c>
      <c r="H1432" s="8" t="str">
        <f>_xlfn.XLOOKUP(B1432,[1]!Tabela1[[Cidades ]],[1]!Tabela1[Gerente],0,0,1)</f>
        <v>Tatiane</v>
      </c>
    </row>
    <row r="1433" spans="1:8" x14ac:dyDescent="0.3">
      <c r="A1433" s="9" t="s">
        <v>1479</v>
      </c>
      <c r="B1433" s="10" t="s">
        <v>31</v>
      </c>
      <c r="C1433" s="11">
        <v>45839</v>
      </c>
      <c r="D1433" s="12">
        <v>197832</v>
      </c>
      <c r="E1433" s="5" t="str">
        <f>_xlfn.XLOOKUP(D1433,[1]!Tabela24[Código consultor],[1]!Tabela24[Consultor Venda],0,0,1)</f>
        <v>DIG - CCO - RAIANE BERGAMIN</v>
      </c>
      <c r="F1433" s="5" t="str">
        <f>_xlfn.XLOOKUP(D1433,[1]!Tabela24[Código consultor],[1]!Tabela24[Canal Consultor],0,0,1)</f>
        <v>DIGITAL</v>
      </c>
      <c r="G1433" s="10" t="str">
        <f>_xlfn.XLOOKUP(B1433,[1]!Tabela1[[Cidades ]],[1]!Tabela1[Regional],0,0,1)</f>
        <v>Maycon</v>
      </c>
      <c r="H1433" s="13" t="str">
        <f>_xlfn.XLOOKUP(B1433,[1]!Tabela1[[Cidades ]],[1]!Tabela1[Gerente],0,0,1)</f>
        <v>Demais coordenadores</v>
      </c>
    </row>
    <row r="1434" spans="1:8" x14ac:dyDescent="0.3">
      <c r="A1434" s="4" t="s">
        <v>1481</v>
      </c>
      <c r="B1434" s="5" t="s">
        <v>69</v>
      </c>
      <c r="C1434" s="6">
        <v>45839</v>
      </c>
      <c r="D1434" s="7">
        <v>255780</v>
      </c>
      <c r="E1434" s="5" t="str">
        <f>_xlfn.XLOOKUP(D1434,[1]!Tabela24[Código consultor],[1]!Tabela24[Consultor Venda],0,0,1)</f>
        <v>COM - PZO - MAIKELI CRISTINA MANFRIN</v>
      </c>
      <c r="F1434" s="5" t="str">
        <f>_xlfn.XLOOKUP(D1434,[1]!Tabela24[Código consultor],[1]!Tabela24[Canal Consultor],0,0,1)</f>
        <v>INTERNO</v>
      </c>
      <c r="G1434" s="5" t="str">
        <f>_xlfn.XLOOKUP(B1434,[1]!Tabela1[[Cidades ]],[1]!Tabela1[Regional],0,0,1)</f>
        <v>Maycon</v>
      </c>
      <c r="H1434" s="8" t="str">
        <f>_xlfn.XLOOKUP(B1434,[1]!Tabela1[[Cidades ]],[1]!Tabela1[Gerente],0,0,1)</f>
        <v>Demais coordenadores</v>
      </c>
    </row>
    <row r="1435" spans="1:8" x14ac:dyDescent="0.3">
      <c r="A1435" s="9" t="s">
        <v>1482</v>
      </c>
      <c r="B1435" s="10" t="s">
        <v>11</v>
      </c>
      <c r="C1435" s="11">
        <v>45839</v>
      </c>
      <c r="D1435" s="12">
        <v>858843</v>
      </c>
      <c r="E1435" s="5" t="str">
        <f>_xlfn.XLOOKUP(D1435,[1]!Tabela24[Código consultor],[1]!Tabela24[Consultor Venda],0,0,1)</f>
        <v>COM - GTI - LARISSA SILVEIRA DE FRAGA</v>
      </c>
      <c r="F1435" s="5" t="str">
        <f>_xlfn.XLOOKUP(D1435,[1]!Tabela24[Código consultor],[1]!Tabela24[Canal Consultor],0,0,1)</f>
        <v>INTERNO</v>
      </c>
      <c r="G1435" s="10" t="str">
        <f>_xlfn.XLOOKUP(B1435,[1]!Tabela1[[Cidades ]],[1]!Tabela1[Regional],0,0,1)</f>
        <v>Magno</v>
      </c>
      <c r="H1435" s="13" t="str">
        <f>_xlfn.XLOOKUP(B1435,[1]!Tabela1[[Cidades ]],[1]!Tabela1[Gerente],0,0,1)</f>
        <v>Demais coordenadores</v>
      </c>
    </row>
    <row r="1436" spans="1:8" x14ac:dyDescent="0.3">
      <c r="A1436" s="4" t="s">
        <v>1483</v>
      </c>
      <c r="B1436" s="5" t="s">
        <v>22</v>
      </c>
      <c r="C1436" s="6">
        <v>45839</v>
      </c>
      <c r="D1436" s="7">
        <v>884801</v>
      </c>
      <c r="E1436" s="5" t="str">
        <f>_xlfn.XLOOKUP(D1436,[1]!Tabela24[Código consultor],[1]!Tabela24[Consultor Venda],0,0,1)</f>
        <v>COM - SCR - JOAO UALISON DOS SANTOS SIMIANER</v>
      </c>
      <c r="F1436" s="5" t="str">
        <f>_xlfn.XLOOKUP(D1436,[1]!Tabela24[Código consultor],[1]!Tabela24[Canal Consultor],0,0,1)</f>
        <v>INTERNO</v>
      </c>
      <c r="G1436" s="5" t="str">
        <f>_xlfn.XLOOKUP(B1436,[1]!Tabela1[[Cidades ]],[1]!Tabela1[Regional],0,0,1)</f>
        <v>Magno</v>
      </c>
      <c r="H1436" s="8" t="str">
        <f>_xlfn.XLOOKUP(B1436,[1]!Tabela1[[Cidades ]],[1]!Tabela1[Gerente],0,0,1)</f>
        <v>Demais coordenadores</v>
      </c>
    </row>
    <row r="1437" spans="1:8" x14ac:dyDescent="0.3">
      <c r="A1437" s="9" t="s">
        <v>1484</v>
      </c>
      <c r="B1437" s="10" t="s">
        <v>11</v>
      </c>
      <c r="C1437" s="11">
        <v>45839</v>
      </c>
      <c r="D1437" s="12">
        <v>691859</v>
      </c>
      <c r="E1437" s="5" t="str">
        <f>_xlfn.XLOOKUP(D1437,[1]!Tabela24[Código consultor],[1]!Tabela24[Consultor Venda],0,0,1)</f>
        <v>COM - GTI - SERGIO GABRIEL GOMES NERVIS</v>
      </c>
      <c r="F1437" s="5" t="str">
        <f>_xlfn.XLOOKUP(D1437,[1]!Tabela24[Código consultor],[1]!Tabela24[Canal Consultor],0,0,1)</f>
        <v>Pap</v>
      </c>
      <c r="G1437" s="10" t="str">
        <f>_xlfn.XLOOKUP(B1437,[1]!Tabela1[[Cidades ]],[1]!Tabela1[Regional],0,0,1)</f>
        <v>Magno</v>
      </c>
      <c r="H1437" s="13" t="str">
        <f>_xlfn.XLOOKUP(B1437,[1]!Tabela1[[Cidades ]],[1]!Tabela1[Gerente],0,0,1)</f>
        <v>Demais coordenadores</v>
      </c>
    </row>
    <row r="1438" spans="1:8" x14ac:dyDescent="0.3">
      <c r="A1438" s="4" t="s">
        <v>1491</v>
      </c>
      <c r="B1438" s="5" t="s">
        <v>39</v>
      </c>
      <c r="C1438" s="6">
        <v>45839</v>
      </c>
      <c r="D1438" s="7">
        <v>547570</v>
      </c>
      <c r="E1438" s="5" t="str">
        <f>_xlfn.XLOOKUP(D1438,[1]!Tabela24[Código consultor],[1]!Tabela24[Consultor Venda],0,0,1)</f>
        <v>COM - LGS - ISABEL CRISTINA RODRIGUES DE JESUS</v>
      </c>
      <c r="F1438" s="5" t="str">
        <f>_xlfn.XLOOKUP(D1438,[1]!Tabela24[Código consultor],[1]!Tabela24[Canal Consultor],0,0,1)</f>
        <v>INTERNO</v>
      </c>
      <c r="G1438" s="5" t="str">
        <f>_xlfn.XLOOKUP(B1438,[1]!Tabela1[[Cidades ]],[1]!Tabela1[Regional],0,0,1)</f>
        <v>Marcio</v>
      </c>
      <c r="H1438" s="8" t="str">
        <f>_xlfn.XLOOKUP(B1438,[1]!Tabela1[[Cidades ]],[1]!Tabela1[Gerente],0,0,1)</f>
        <v>Demais coordenadores</v>
      </c>
    </row>
    <row r="1439" spans="1:8" x14ac:dyDescent="0.3">
      <c r="A1439" s="9" t="s">
        <v>1493</v>
      </c>
      <c r="B1439" s="10" t="s">
        <v>88</v>
      </c>
      <c r="C1439" s="11">
        <v>45839</v>
      </c>
      <c r="D1439" s="12">
        <v>882337</v>
      </c>
      <c r="E1439" s="5" t="str">
        <f>_xlfn.XLOOKUP(D1439,[1]!Tabela24[Código consultor],[1]!Tabela24[Consultor Venda],0,0,1)</f>
        <v>COM - CUA - LUCAS EDUARDO DA SILVA PEREIRA</v>
      </c>
      <c r="F1439" s="5" t="str">
        <f>_xlfn.XLOOKUP(D1439,[1]!Tabela24[Código consultor],[1]!Tabela24[Canal Consultor],0,0,1)</f>
        <v>Pap</v>
      </c>
      <c r="G1439" s="10" t="str">
        <f>_xlfn.XLOOKUP(B1439,[1]!Tabela1[[Cidades ]],[1]!Tabela1[Regional],0,0,1)</f>
        <v>Marcio</v>
      </c>
      <c r="H1439" s="13" t="str">
        <f>_xlfn.XLOOKUP(B1439,[1]!Tabela1[[Cidades ]],[1]!Tabela1[Gerente],0,0,1)</f>
        <v>Demais coordenadores</v>
      </c>
    </row>
    <row r="1440" spans="1:8" x14ac:dyDescent="0.3">
      <c r="A1440" s="4" t="s">
        <v>1498</v>
      </c>
      <c r="B1440" s="5" t="s">
        <v>11</v>
      </c>
      <c r="C1440" s="6">
        <v>45839</v>
      </c>
      <c r="D1440" s="7">
        <v>827465</v>
      </c>
      <c r="E1440" s="5" t="str">
        <f>_xlfn.XLOOKUP(D1440,[1]!Tabela24[Código consultor],[1]!Tabela24[Consultor Venda],0,0,1)</f>
        <v>DIG - ATV - TAINARA RODRIGUES CORDEIRO</v>
      </c>
      <c r="F1440" s="5" t="str">
        <f>_xlfn.XLOOKUP(D1440,[1]!Tabela24[Código consultor],[1]!Tabela24[Canal Consultor],0,0,1)</f>
        <v>Televendas Ativo</v>
      </c>
      <c r="G1440" s="5" t="str">
        <f>_xlfn.XLOOKUP(B1440,[1]!Tabela1[[Cidades ]],[1]!Tabela1[Regional],0,0,1)</f>
        <v>Magno</v>
      </c>
      <c r="H1440" s="8" t="str">
        <f>_xlfn.XLOOKUP(B1440,[1]!Tabela1[[Cidades ]],[1]!Tabela1[Gerente],0,0,1)</f>
        <v>Demais coordenadores</v>
      </c>
    </row>
    <row r="1441" spans="1:8" x14ac:dyDescent="0.3">
      <c r="A1441" s="9" t="s">
        <v>1501</v>
      </c>
      <c r="B1441" s="10" t="s">
        <v>24</v>
      </c>
      <c r="C1441" s="11">
        <v>45839</v>
      </c>
      <c r="D1441" s="12">
        <v>870012</v>
      </c>
      <c r="E1441" s="5" t="str">
        <f>_xlfn.XLOOKUP(D1441,[1]!Tabela24[Código consultor],[1]!Tabela24[Consultor Venda],0,0,1)</f>
        <v>COM - SMA - LUIZ EDUARDO DOS SANTOS LOPES COLLARES</v>
      </c>
      <c r="F1441" s="5" t="str">
        <f>_xlfn.XLOOKUP(D1441,[1]!Tabela24[Código consultor],[1]!Tabela24[Canal Consultor],0,0,1)</f>
        <v>Pap</v>
      </c>
      <c r="G1441" s="10" t="str">
        <f>_xlfn.XLOOKUP(B1441,[1]!Tabela1[[Cidades ]],[1]!Tabela1[Regional],0,0,1)</f>
        <v>Magno</v>
      </c>
      <c r="H1441" s="13" t="str">
        <f>_xlfn.XLOOKUP(B1441,[1]!Tabela1[[Cidades ]],[1]!Tabela1[Gerente],0,0,1)</f>
        <v>Demais coordenadores</v>
      </c>
    </row>
    <row r="1442" spans="1:8" x14ac:dyDescent="0.3">
      <c r="A1442" s="4" t="s">
        <v>1504</v>
      </c>
      <c r="B1442" s="5" t="s">
        <v>12</v>
      </c>
      <c r="C1442" s="6">
        <v>45839</v>
      </c>
      <c r="D1442" s="7">
        <v>882399</v>
      </c>
      <c r="E1442" s="5" t="str">
        <f>_xlfn.XLOOKUP(D1442,[1]!Tabela24[Código consultor],[1]!Tabela24[Consultor Venda],0,0,1)</f>
        <v>COM - PGO - NATHALI MACHADO DE FARIAS</v>
      </c>
      <c r="F1442" s="5" t="str">
        <f>_xlfn.XLOOKUP(D1442,[1]!Tabela24[Código consultor],[1]!Tabela24[Canal Consultor],0,0,1)</f>
        <v>INTERNO</v>
      </c>
      <c r="G1442" s="5" t="str">
        <f>_xlfn.XLOOKUP(B1442,[1]!Tabela1[[Cidades ]],[1]!Tabela1[Regional],0,0,1)</f>
        <v>Jean</v>
      </c>
      <c r="H1442" s="8" t="str">
        <f>_xlfn.XLOOKUP(B1442,[1]!Tabela1[[Cidades ]],[1]!Tabela1[Gerente],0,0,1)</f>
        <v>Demais coordenadores</v>
      </c>
    </row>
    <row r="1443" spans="1:8" x14ac:dyDescent="0.3">
      <c r="A1443" s="9" t="s">
        <v>1505</v>
      </c>
      <c r="B1443" s="10" t="s">
        <v>11</v>
      </c>
      <c r="C1443" s="11">
        <v>45839</v>
      </c>
      <c r="D1443" s="12">
        <v>165769</v>
      </c>
      <c r="E1443" s="5" t="str">
        <f>_xlfn.XLOOKUP(D1443,[1]!Tabela24[Código consultor],[1]!Tabela24[Consultor Venda],0,0,1)</f>
        <v>PAR - PAP - GTI - THALIA SP - THALIA DA SILVA PEREIRA</v>
      </c>
      <c r="F1443" s="5" t="str">
        <f>_xlfn.XLOOKUP(D1443,[1]!Tabela24[Código consultor],[1]!Tabela24[Canal Consultor],0,0,1)</f>
        <v>PAR</v>
      </c>
      <c r="G1443" s="10" t="str">
        <f>_xlfn.XLOOKUP(B1443,[1]!Tabela1[[Cidades ]],[1]!Tabela1[Regional],0,0,1)</f>
        <v>Magno</v>
      </c>
      <c r="H1443" s="13" t="str">
        <f>_xlfn.XLOOKUP(B1443,[1]!Tabela1[[Cidades ]],[1]!Tabela1[Gerente],0,0,1)</f>
        <v>Demais coordenadores</v>
      </c>
    </row>
    <row r="1444" spans="1:8" x14ac:dyDescent="0.3">
      <c r="A1444" s="4" t="s">
        <v>1508</v>
      </c>
      <c r="B1444" s="5" t="s">
        <v>39</v>
      </c>
      <c r="C1444" s="6">
        <v>45839</v>
      </c>
      <c r="D1444" s="7">
        <v>788656</v>
      </c>
      <c r="E1444" s="5" t="str">
        <f>_xlfn.XLOOKUP(D1444,[1]!Tabela24[Código consultor],[1]!Tabela24[Consultor Venda],0,0,1)</f>
        <v>PAR - STB - PAP - JOY TELECOM - GABRIELA ALVES DE GODOY</v>
      </c>
      <c r="F1444" s="5" t="str">
        <f>_xlfn.XLOOKUP(D1444,[1]!Tabela24[Código consultor],[1]!Tabela24[Canal Consultor],0,0,1)</f>
        <v>PAR_DIG</v>
      </c>
      <c r="G1444" s="5" t="str">
        <f>_xlfn.XLOOKUP(B1444,[1]!Tabela1[[Cidades ]],[1]!Tabela1[Regional],0,0,1)</f>
        <v>Marcio</v>
      </c>
      <c r="H1444" s="8" t="str">
        <f>_xlfn.XLOOKUP(B1444,[1]!Tabela1[[Cidades ]],[1]!Tabela1[Gerente],0,0,1)</f>
        <v>Demais coordenadores</v>
      </c>
    </row>
    <row r="1445" spans="1:8" x14ac:dyDescent="0.3">
      <c r="A1445" s="9" t="s">
        <v>1509</v>
      </c>
      <c r="B1445" s="10" t="s">
        <v>59</v>
      </c>
      <c r="C1445" s="11">
        <v>45839</v>
      </c>
      <c r="D1445" s="12">
        <v>827465</v>
      </c>
      <c r="E1445" s="5" t="str">
        <f>_xlfn.XLOOKUP(D1445,[1]!Tabela24[Código consultor],[1]!Tabela24[Consultor Venda],0,0,1)</f>
        <v>DIG - ATV - TAINARA RODRIGUES CORDEIRO</v>
      </c>
      <c r="F1445" s="5" t="str">
        <f>_xlfn.XLOOKUP(D1445,[1]!Tabela24[Código consultor],[1]!Tabela24[Canal Consultor],0,0,1)</f>
        <v>Televendas Ativo</v>
      </c>
      <c r="G1445" s="10" t="str">
        <f>_xlfn.XLOOKUP(B1445,[1]!Tabela1[[Cidades ]],[1]!Tabela1[Regional],0,0,1)</f>
        <v>Adilson</v>
      </c>
      <c r="H1445" s="13" t="str">
        <f>_xlfn.XLOOKUP(B1445,[1]!Tabela1[[Cidades ]],[1]!Tabela1[Gerente],0,0,1)</f>
        <v>Demais coordenadores</v>
      </c>
    </row>
    <row r="1446" spans="1:8" x14ac:dyDescent="0.3">
      <c r="A1446" s="4" t="s">
        <v>1578</v>
      </c>
      <c r="B1446" s="5" t="s">
        <v>10</v>
      </c>
      <c r="C1446" s="6">
        <v>45839</v>
      </c>
      <c r="D1446" s="7">
        <v>233138</v>
      </c>
      <c r="E1446" s="5" t="str">
        <f>_xlfn.XLOOKUP(D1446,[1]!Tabela24[Código consultor],[1]!Tabela24[Consultor Venda],0,0,1)</f>
        <v>PAR - INTE - GRP - MOBILE HD - ALINE KARNOSKI</v>
      </c>
      <c r="F1446" s="5" t="str">
        <f>_xlfn.XLOOKUP(D1446,[1]!Tabela24[Código consultor],[1]!Tabela24[Canal Consultor],0,0,1)</f>
        <v>PAR</v>
      </c>
      <c r="G1446" s="5" t="str">
        <f>_xlfn.XLOOKUP(B1446,[1]!Tabela1[[Cidades ]],[1]!Tabela1[Regional],0,0,1)</f>
        <v>Jean</v>
      </c>
      <c r="H1446" s="8" t="str">
        <f>_xlfn.XLOOKUP(B1446,[1]!Tabela1[[Cidades ]],[1]!Tabela1[Gerente],0,0,1)</f>
        <v>Demais coordenadores</v>
      </c>
    </row>
    <row r="1447" spans="1:8" x14ac:dyDescent="0.3">
      <c r="A1447" s="9" t="s">
        <v>1579</v>
      </c>
      <c r="B1447" s="10" t="s">
        <v>69</v>
      </c>
      <c r="C1447" s="11">
        <v>45839</v>
      </c>
      <c r="D1447" s="12">
        <v>437804</v>
      </c>
      <c r="E1447" s="5" t="str">
        <f>_xlfn.XLOOKUP(D1447,[1]!Tabela24[Código consultor],[1]!Tabela24[Consultor Venda],0,0,1)</f>
        <v>COM - PZO - SUELEN CRISTINA FREY</v>
      </c>
      <c r="F1447" s="5" t="str">
        <f>_xlfn.XLOOKUP(D1447,[1]!Tabela24[Código consultor],[1]!Tabela24[Canal Consultor],0,0,1)</f>
        <v>INTERNO</v>
      </c>
      <c r="G1447" s="10" t="str">
        <f>_xlfn.XLOOKUP(B1447,[1]!Tabela1[[Cidades ]],[1]!Tabela1[Regional],0,0,1)</f>
        <v>Maycon</v>
      </c>
      <c r="H1447" s="13" t="str">
        <f>_xlfn.XLOOKUP(B1447,[1]!Tabela1[[Cidades ]],[1]!Tabela1[Gerente],0,0,1)</f>
        <v>Demais coordenadores</v>
      </c>
    </row>
    <row r="1448" spans="1:8" x14ac:dyDescent="0.3">
      <c r="A1448" s="4" t="s">
        <v>1512</v>
      </c>
      <c r="B1448" s="5" t="s">
        <v>32</v>
      </c>
      <c r="C1448" s="6">
        <v>45839</v>
      </c>
      <c r="D1448" s="7">
        <v>873643</v>
      </c>
      <c r="E1448" s="5" t="str">
        <f>_xlfn.XLOOKUP(D1448,[1]!Tabela24[Código consultor],[1]!Tabela24[Consultor Venda],0,0,1)</f>
        <v>COM - IGA - EMILI JULIANA DE OLIVEIRA SOUTO</v>
      </c>
      <c r="F1448" s="5" t="str">
        <f>_xlfn.XLOOKUP(D1448,[1]!Tabela24[Código consultor],[1]!Tabela24[Canal Consultor],0,0,1)</f>
        <v>INTERNO</v>
      </c>
      <c r="G1448" s="5" t="str">
        <f>_xlfn.XLOOKUP(B1448,[1]!Tabela1[[Cidades ]],[1]!Tabela1[Regional],0,0,1)</f>
        <v>Jean</v>
      </c>
      <c r="H1448" s="8" t="str">
        <f>_xlfn.XLOOKUP(B1448,[1]!Tabela1[[Cidades ]],[1]!Tabela1[Gerente],0,0,1)</f>
        <v>Demais coordenadores</v>
      </c>
    </row>
    <row r="1449" spans="1:8" x14ac:dyDescent="0.3">
      <c r="A1449" s="9" t="s">
        <v>1580</v>
      </c>
      <c r="B1449" s="10" t="s">
        <v>44</v>
      </c>
      <c r="C1449" s="11">
        <v>45839</v>
      </c>
      <c r="D1449" s="12">
        <v>636843</v>
      </c>
      <c r="E1449" s="5" t="str">
        <f>_xlfn.XLOOKUP(D1449,[1]!Tabela24[Código consultor],[1]!Tabela24[Consultor Venda],0,0,1)</f>
        <v>COM - IRI - MICHEL DOUGLAS PERUCELI</v>
      </c>
      <c r="F1449" s="5" t="str">
        <f>_xlfn.XLOOKUP(D1449,[1]!Tabela24[Código consultor],[1]!Tabela24[Canal Consultor],0,0,1)</f>
        <v>Pap</v>
      </c>
      <c r="G1449" s="10" t="str">
        <f>_xlfn.XLOOKUP(B1449,[1]!Tabela1[[Cidades ]],[1]!Tabela1[Regional],0,0,1)</f>
        <v>Jean</v>
      </c>
      <c r="H1449" s="13" t="str">
        <f>_xlfn.XLOOKUP(B1449,[1]!Tabela1[[Cidades ]],[1]!Tabela1[Gerente],0,0,1)</f>
        <v>Demais coordenadores</v>
      </c>
    </row>
    <row r="1450" spans="1:8" x14ac:dyDescent="0.3">
      <c r="A1450" s="4" t="s">
        <v>1515</v>
      </c>
      <c r="B1450" s="5" t="s">
        <v>67</v>
      </c>
      <c r="C1450" s="6">
        <v>45839</v>
      </c>
      <c r="D1450" s="7">
        <v>741461</v>
      </c>
      <c r="E1450" s="5" t="str">
        <f>_xlfn.XLOOKUP(D1450,[1]!Tabela24[Código consultor],[1]!Tabela24[Consultor Venda],0,0,1)</f>
        <v>PAR - PAP - MVH - DIGITAL SUL SOLUCOES - MARIA ISABEL LEVY</v>
      </c>
      <c r="F1450" s="5" t="str">
        <f>_xlfn.XLOOKUP(D1450,[1]!Tabela24[Código consultor],[1]!Tabela24[Canal Consultor],0,0,1)</f>
        <v>PAR_DIG</v>
      </c>
      <c r="G1450" s="5" t="str">
        <f>_xlfn.XLOOKUP(B1450,[1]!Tabela1[[Cidades ]],[1]!Tabela1[Regional],0,0,1)</f>
        <v>Maycon</v>
      </c>
      <c r="H1450" s="8" t="str">
        <f>_xlfn.XLOOKUP(B1450,[1]!Tabela1[[Cidades ]],[1]!Tabela1[Gerente],0,0,1)</f>
        <v>Demais coordenadores</v>
      </c>
    </row>
    <row r="1451" spans="1:8" x14ac:dyDescent="0.3">
      <c r="A1451" s="9" t="s">
        <v>1516</v>
      </c>
      <c r="B1451" s="10" t="s">
        <v>59</v>
      </c>
      <c r="C1451" s="11">
        <v>45839</v>
      </c>
      <c r="D1451" s="12">
        <v>197832</v>
      </c>
      <c r="E1451" s="5" t="str">
        <f>_xlfn.XLOOKUP(D1451,[1]!Tabela24[Código consultor],[1]!Tabela24[Consultor Venda],0,0,1)</f>
        <v>DIG - CCO - RAIANE BERGAMIN</v>
      </c>
      <c r="F1451" s="5" t="str">
        <f>_xlfn.XLOOKUP(D1451,[1]!Tabela24[Código consultor],[1]!Tabela24[Canal Consultor],0,0,1)</f>
        <v>DIGITAL</v>
      </c>
      <c r="G1451" s="10" t="str">
        <f>_xlfn.XLOOKUP(B1451,[1]!Tabela1[[Cidades ]],[1]!Tabela1[Regional],0,0,1)</f>
        <v>Adilson</v>
      </c>
      <c r="H1451" s="13" t="str">
        <f>_xlfn.XLOOKUP(B1451,[1]!Tabela1[[Cidades ]],[1]!Tabela1[Gerente],0,0,1)</f>
        <v>Demais coordenadores</v>
      </c>
    </row>
    <row r="1452" spans="1:8" x14ac:dyDescent="0.3">
      <c r="A1452" s="4" t="s">
        <v>1519</v>
      </c>
      <c r="B1452" s="5" t="s">
        <v>31</v>
      </c>
      <c r="C1452" s="6">
        <v>45839</v>
      </c>
      <c r="D1452" s="7">
        <v>683349</v>
      </c>
      <c r="E1452" s="5" t="str">
        <f>_xlfn.XLOOKUP(D1452,[1]!Tabela24[Código consultor],[1]!Tabela24[Consultor Venda],0,0,1)</f>
        <v>DIG - CCO - EVELLIN SALOA MAIA DA CONCEICAO</v>
      </c>
      <c r="F1452" s="5" t="str">
        <f>_xlfn.XLOOKUP(D1452,[1]!Tabela24[Código consultor],[1]!Tabela24[Canal Consultor],0,0,1)</f>
        <v>DIGITAL</v>
      </c>
      <c r="G1452" s="5" t="str">
        <f>_xlfn.XLOOKUP(B1452,[1]!Tabela1[[Cidades ]],[1]!Tabela1[Regional],0,0,1)</f>
        <v>Maycon</v>
      </c>
      <c r="H1452" s="8" t="str">
        <f>_xlfn.XLOOKUP(B1452,[1]!Tabela1[[Cidades ]],[1]!Tabela1[Gerente],0,0,1)</f>
        <v>Demais coordenadores</v>
      </c>
    </row>
    <row r="1453" spans="1:8" x14ac:dyDescent="0.3">
      <c r="A1453" s="9" t="s">
        <v>1520</v>
      </c>
      <c r="B1453" s="10" t="s">
        <v>79</v>
      </c>
      <c r="C1453" s="11">
        <v>45839</v>
      </c>
      <c r="D1453" s="12">
        <v>819069</v>
      </c>
      <c r="E1453" s="5" t="str">
        <f>_xlfn.XLOOKUP(D1453,[1]!Tabela24[Código consultor],[1]!Tabela24[Consultor Venda],0,0,1)</f>
        <v>COM - LVH - VANESSA OLIVEIRA DA SILVA</v>
      </c>
      <c r="F1453" s="5" t="str">
        <f>_xlfn.XLOOKUP(D1453,[1]!Tabela24[Código consultor],[1]!Tabela24[Canal Consultor],0,0,1)</f>
        <v>INTERNO</v>
      </c>
      <c r="G1453" s="10" t="str">
        <f>_xlfn.XLOOKUP(B1453,[1]!Tabela1[[Cidades ]],[1]!Tabela1[Regional],0,0,1)</f>
        <v>Alisson</v>
      </c>
      <c r="H1453" s="13" t="str">
        <f>_xlfn.XLOOKUP(B1453,[1]!Tabela1[[Cidades ]],[1]!Tabela1[Gerente],0,0,1)</f>
        <v>Tatiane</v>
      </c>
    </row>
    <row r="1454" spans="1:8" x14ac:dyDescent="0.3">
      <c r="A1454" s="4" t="s">
        <v>1521</v>
      </c>
      <c r="B1454" s="5" t="s">
        <v>10</v>
      </c>
      <c r="C1454" s="6">
        <v>45839</v>
      </c>
      <c r="D1454" s="7">
        <v>562578</v>
      </c>
      <c r="E1454" s="5" t="str">
        <f>_xlfn.XLOOKUP(D1454,[1]!Tabela24[Código consultor],[1]!Tabela24[Consultor Venda],0,0,1)</f>
        <v>PAR - GRP - COM - MOBILE - JOANA ISABELA DILGER</v>
      </c>
      <c r="F1454" s="5" t="str">
        <f>_xlfn.XLOOKUP(D1454,[1]!Tabela24[Código consultor],[1]!Tabela24[Canal Consultor],0,0,1)</f>
        <v>par</v>
      </c>
      <c r="G1454" s="5" t="str">
        <f>_xlfn.XLOOKUP(B1454,[1]!Tabela1[[Cidades ]],[1]!Tabela1[Regional],0,0,1)</f>
        <v>Jean</v>
      </c>
      <c r="H1454" s="8" t="str">
        <f>_xlfn.XLOOKUP(B1454,[1]!Tabela1[[Cidades ]],[1]!Tabela1[Gerente],0,0,1)</f>
        <v>Demais coordenadores</v>
      </c>
    </row>
    <row r="1455" spans="1:8" x14ac:dyDescent="0.3">
      <c r="A1455" s="9" t="s">
        <v>1581</v>
      </c>
      <c r="B1455" s="10" t="s">
        <v>64</v>
      </c>
      <c r="C1455" s="11">
        <v>45839</v>
      </c>
      <c r="D1455" s="12">
        <v>813618</v>
      </c>
      <c r="E1455" s="5" t="str">
        <f>_xlfn.XLOOKUP(D1455,[1]!Tabela24[Código consultor],[1]!Tabela24[Consultor Venda],0,0,1)</f>
        <v>COM - TEB - MARCIA CRISTINA MARIANO</v>
      </c>
      <c r="F1455" s="5" t="str">
        <f>_xlfn.XLOOKUP(D1455,[1]!Tabela24[Código consultor],[1]!Tabela24[Canal Consultor],0,0,1)</f>
        <v>Pap</v>
      </c>
      <c r="G1455" s="10" t="str">
        <f>_xlfn.XLOOKUP(B1455,[1]!Tabela1[[Cidades ]],[1]!Tabela1[Regional],0,0,1)</f>
        <v>Jean</v>
      </c>
      <c r="H1455" s="13" t="str">
        <f>_xlfn.XLOOKUP(B1455,[1]!Tabela1[[Cidades ]],[1]!Tabela1[Gerente],0,0,1)</f>
        <v>Demais coordenadores</v>
      </c>
    </row>
    <row r="1456" spans="1:8" x14ac:dyDescent="0.3">
      <c r="A1456" s="4" t="s">
        <v>1523</v>
      </c>
      <c r="B1456" s="5" t="s">
        <v>60</v>
      </c>
      <c r="C1456" s="6">
        <v>45839</v>
      </c>
      <c r="D1456" s="7">
        <v>882296</v>
      </c>
      <c r="E1456" s="5" t="str">
        <f>_xlfn.XLOOKUP(D1456,[1]!Tabela24[Código consultor],[1]!Tabela24[Consultor Venda],0,0,1)</f>
        <v>COM - CHN - ANIBAL DE SOUZA NETO</v>
      </c>
      <c r="F1456" s="5" t="str">
        <f>_xlfn.XLOOKUP(D1456,[1]!Tabela24[Código consultor],[1]!Tabela24[Canal Consultor],0,0,1)</f>
        <v>Pap</v>
      </c>
      <c r="G1456" s="5" t="str">
        <f>_xlfn.XLOOKUP(B1456,[1]!Tabela1[[Cidades ]],[1]!Tabela1[Regional],0,0,1)</f>
        <v>Magno</v>
      </c>
      <c r="H1456" s="8" t="str">
        <f>_xlfn.XLOOKUP(B1456,[1]!Tabela1[[Cidades ]],[1]!Tabela1[Gerente],0,0,1)</f>
        <v>Demais coordenadores</v>
      </c>
    </row>
    <row r="1457" spans="1:8" x14ac:dyDescent="0.3">
      <c r="A1457" s="9" t="s">
        <v>1582</v>
      </c>
      <c r="B1457" s="10" t="s">
        <v>130</v>
      </c>
      <c r="C1457" s="11">
        <v>45839</v>
      </c>
      <c r="D1457" s="12">
        <v>353572</v>
      </c>
      <c r="E1457" s="5" t="str">
        <f>_xlfn.XLOOKUP(D1457,[1]!Tabela24[Código consultor],[1]!Tabela24[Consultor Venda],0,0,1)</f>
        <v>COM - ERE - CRISTINA PAULA PEREIRA</v>
      </c>
      <c r="F1457" s="5" t="str">
        <f>_xlfn.XLOOKUP(D1457,[1]!Tabela24[Código consultor],[1]!Tabela24[Canal Consultor],0,0,1)</f>
        <v>INTERNO</v>
      </c>
      <c r="G1457" s="10" t="str">
        <f>_xlfn.XLOOKUP(B1457,[1]!Tabela1[[Cidades ]],[1]!Tabela1[Regional],0,0,1)</f>
        <v>Alisson</v>
      </c>
      <c r="H1457" s="13" t="str">
        <f>_xlfn.XLOOKUP(B1457,[1]!Tabela1[[Cidades ]],[1]!Tabela1[Gerente],0,0,1)</f>
        <v>Karine</v>
      </c>
    </row>
    <row r="1458" spans="1:8" x14ac:dyDescent="0.3">
      <c r="A1458" s="4" t="s">
        <v>1530</v>
      </c>
      <c r="B1458" s="5" t="s">
        <v>32</v>
      </c>
      <c r="C1458" s="6">
        <v>45839</v>
      </c>
      <c r="D1458" s="7">
        <v>555881</v>
      </c>
      <c r="E1458" s="5" t="str">
        <f>_xlfn.XLOOKUP(D1458,[1]!Tabela24[Código consultor],[1]!Tabela24[Consultor Venda],0,0,1)</f>
        <v>COM - IGA - LUIS FELIPE SIQUEIRA DE LIMA</v>
      </c>
      <c r="F1458" s="5" t="str">
        <f>_xlfn.XLOOKUP(D1458,[1]!Tabela24[Código consultor],[1]!Tabela24[Canal Consultor],0,0,1)</f>
        <v>INTERNO</v>
      </c>
      <c r="G1458" s="5" t="str">
        <f>_xlfn.XLOOKUP(B1458,[1]!Tabela1[[Cidades ]],[1]!Tabela1[Regional],0,0,1)</f>
        <v>Jean</v>
      </c>
      <c r="H1458" s="8" t="str">
        <f>_xlfn.XLOOKUP(B1458,[1]!Tabela1[[Cidades ]],[1]!Tabela1[Gerente],0,0,1)</f>
        <v>Demais coordenadores</v>
      </c>
    </row>
    <row r="1459" spans="1:8" x14ac:dyDescent="0.3">
      <c r="A1459" s="9" t="s">
        <v>1537</v>
      </c>
      <c r="B1459" s="10" t="s">
        <v>97</v>
      </c>
      <c r="C1459" s="11">
        <v>45839</v>
      </c>
      <c r="D1459" s="12">
        <v>878929</v>
      </c>
      <c r="E1459" s="5" t="str">
        <f>_xlfn.XLOOKUP(D1459,[1]!Tabela24[Código consultor],[1]!Tabela24[Consultor Venda],0,0,1)</f>
        <v>COM - CIO - MARIA EDUARDA DO CARMO MACHADO</v>
      </c>
      <c r="F1459" s="5" t="str">
        <f>_xlfn.XLOOKUP(D1459,[1]!Tabela24[Código consultor],[1]!Tabela24[Canal Consultor],0,0,1)</f>
        <v>Pap</v>
      </c>
      <c r="G1459" s="10" t="str">
        <f>_xlfn.XLOOKUP(B1459,[1]!Tabela1[[Cidades ]],[1]!Tabela1[Regional],0,0,1)</f>
        <v>Alisson</v>
      </c>
      <c r="H1459" s="13" t="str">
        <f>_xlfn.XLOOKUP(B1459,[1]!Tabela1[[Cidades ]],[1]!Tabela1[Gerente],0,0,1)</f>
        <v>Helena</v>
      </c>
    </row>
    <row r="1460" spans="1:8" x14ac:dyDescent="0.3">
      <c r="A1460" s="4" t="s">
        <v>1541</v>
      </c>
      <c r="B1460" s="5" t="s">
        <v>32</v>
      </c>
      <c r="C1460" s="6">
        <v>45839</v>
      </c>
      <c r="D1460" s="7">
        <v>867522</v>
      </c>
      <c r="E1460" s="5" t="str">
        <f>_xlfn.XLOOKUP(D1460,[1]!Tabela24[Código consultor],[1]!Tabela24[Consultor Venda],0,0,1)</f>
        <v>COM - IGA - SANDRO CESAR MARTINS</v>
      </c>
      <c r="F1460" s="5" t="str">
        <f>_xlfn.XLOOKUP(D1460,[1]!Tabela24[Código consultor],[1]!Tabela24[Canal Consultor],0,0,1)</f>
        <v>Pap</v>
      </c>
      <c r="G1460" s="5" t="str">
        <f>_xlfn.XLOOKUP(B1460,[1]!Tabela1[[Cidades ]],[1]!Tabela1[Regional],0,0,1)</f>
        <v>Jean</v>
      </c>
      <c r="H1460" s="8" t="str">
        <f>_xlfn.XLOOKUP(B1460,[1]!Tabela1[[Cidades ]],[1]!Tabela1[Gerente],0,0,1)</f>
        <v>Demais coordenadores</v>
      </c>
    </row>
    <row r="1461" spans="1:8" x14ac:dyDescent="0.3">
      <c r="A1461" s="9" t="s">
        <v>1543</v>
      </c>
      <c r="B1461" s="10" t="s">
        <v>27</v>
      </c>
      <c r="C1461" s="11">
        <v>45839</v>
      </c>
      <c r="D1461" s="12">
        <v>844442</v>
      </c>
      <c r="E1461" s="5" t="str">
        <f>_xlfn.XLOOKUP(D1461,[1]!Tabela24[Código consultor],[1]!Tabela24[Consultor Venda],0,0,1)</f>
        <v>COM - VAA - EMILLY SILVA</v>
      </c>
      <c r="F1461" s="5" t="str">
        <f>_xlfn.XLOOKUP(D1461,[1]!Tabela24[Código consultor],[1]!Tabela24[Canal Consultor],0,0,1)</f>
        <v>Pap</v>
      </c>
      <c r="G1461" s="10" t="str">
        <f>_xlfn.XLOOKUP(B1461,[1]!Tabela1[[Cidades ]],[1]!Tabela1[Regional],0,0,1)</f>
        <v>Alisson</v>
      </c>
      <c r="H1461" s="13" t="str">
        <f>_xlfn.XLOOKUP(B1461,[1]!Tabela1[[Cidades ]],[1]!Tabela1[Gerente],0,0,1)</f>
        <v>Tatiane</v>
      </c>
    </row>
    <row r="1462" spans="1:8" x14ac:dyDescent="0.3">
      <c r="A1462" s="4" t="s">
        <v>1544</v>
      </c>
      <c r="B1462" s="5" t="s">
        <v>59</v>
      </c>
      <c r="C1462" s="6">
        <v>45839</v>
      </c>
      <c r="D1462" s="7">
        <v>788656</v>
      </c>
      <c r="E1462" s="5" t="str">
        <f>_xlfn.XLOOKUP(D1462,[1]!Tabela24[Código consultor],[1]!Tabela24[Consultor Venda],0,0,1)</f>
        <v>PAR - STB - PAP - JOY TELECOM - GABRIELA ALVES DE GODOY</v>
      </c>
      <c r="F1462" s="5" t="str">
        <f>_xlfn.XLOOKUP(D1462,[1]!Tabela24[Código consultor],[1]!Tabela24[Canal Consultor],0,0,1)</f>
        <v>PAR_DIG</v>
      </c>
      <c r="G1462" s="5" t="str">
        <f>_xlfn.XLOOKUP(B1462,[1]!Tabela1[[Cidades ]],[1]!Tabela1[Regional],0,0,1)</f>
        <v>Adilson</v>
      </c>
      <c r="H1462" s="8" t="str">
        <f>_xlfn.XLOOKUP(B1462,[1]!Tabela1[[Cidades ]],[1]!Tabela1[Gerente],0,0,1)</f>
        <v>Demais coordenadores</v>
      </c>
    </row>
    <row r="1463" spans="1:8" x14ac:dyDescent="0.3">
      <c r="A1463" s="9" t="s">
        <v>1545</v>
      </c>
      <c r="B1463" s="10" t="s">
        <v>76</v>
      </c>
      <c r="C1463" s="11">
        <v>45839</v>
      </c>
      <c r="D1463" s="12">
        <v>764935</v>
      </c>
      <c r="E1463" s="5" t="str">
        <f>_xlfn.XLOOKUP(D1463,[1]!Tabela24[Código consultor],[1]!Tabela24[Consultor Venda],0,0,1)</f>
        <v>O&amp;M - CIO - TEC - ROGER EZEQUIEL DE ALMEIDA</v>
      </c>
      <c r="F1463" s="5" t="str">
        <f>_xlfn.XLOOKUP(D1463,[1]!Tabela24[Código consultor],[1]!Tabela24[Canal Consultor],0,0,1)</f>
        <v>ADM Interno</v>
      </c>
      <c r="G1463" s="10" t="str">
        <f>_xlfn.XLOOKUP(B1463,[1]!Tabela1[[Cidades ]],[1]!Tabela1[Regional],0,0,1)</f>
        <v>Alisson</v>
      </c>
      <c r="H1463" s="13" t="str">
        <f>_xlfn.XLOOKUP(B1463,[1]!Tabela1[[Cidades ]],[1]!Tabela1[Gerente],0,0,1)</f>
        <v>Helena</v>
      </c>
    </row>
    <row r="1464" spans="1:8" x14ac:dyDescent="0.3">
      <c r="A1464" s="4" t="s">
        <v>1556</v>
      </c>
      <c r="B1464" s="5" t="s">
        <v>30</v>
      </c>
      <c r="C1464" s="6">
        <v>45839</v>
      </c>
      <c r="D1464" s="7">
        <v>827465</v>
      </c>
      <c r="E1464" s="5" t="str">
        <f>_xlfn.XLOOKUP(D1464,[1]!Tabela24[Código consultor],[1]!Tabela24[Consultor Venda],0,0,1)</f>
        <v>DIG - ATV - TAINARA RODRIGUES CORDEIRO</v>
      </c>
      <c r="F1464" s="5" t="str">
        <f>_xlfn.XLOOKUP(D1464,[1]!Tabela24[Código consultor],[1]!Tabela24[Canal Consultor],0,0,1)</f>
        <v>Televendas Ativo</v>
      </c>
      <c r="G1464" s="5" t="str">
        <f>_xlfn.XLOOKUP(B1464,[1]!Tabela1[[Cidades ]],[1]!Tabela1[Regional],0,0,1)</f>
        <v>Jean</v>
      </c>
      <c r="H1464" s="8" t="str">
        <f>_xlfn.XLOOKUP(B1464,[1]!Tabela1[[Cidades ]],[1]!Tabela1[Gerente],0,0,1)</f>
        <v>Demais coordenadores</v>
      </c>
    </row>
    <row r="1465" spans="1:8" x14ac:dyDescent="0.3">
      <c r="A1465" s="9" t="s">
        <v>1558</v>
      </c>
      <c r="B1465" s="10" t="s">
        <v>12</v>
      </c>
      <c r="C1465" s="11">
        <v>45839</v>
      </c>
      <c r="D1465" s="12">
        <v>876395</v>
      </c>
      <c r="E1465" s="5" t="str">
        <f>_xlfn.XLOOKUP(D1465,[1]!Tabela24[Código consultor],[1]!Tabela24[Consultor Venda],0,0,1)</f>
        <v>COM - PGO - MARIA EDUARDA OLIVEIRA BRITO</v>
      </c>
      <c r="F1465" s="5" t="str">
        <f>_xlfn.XLOOKUP(D1465,[1]!Tabela24[Código consultor],[1]!Tabela24[Canal Consultor],0,0,1)</f>
        <v>Pap</v>
      </c>
      <c r="G1465" s="10" t="str">
        <f>_xlfn.XLOOKUP(B1465,[1]!Tabela1[[Cidades ]],[1]!Tabela1[Regional],0,0,1)</f>
        <v>Jean</v>
      </c>
      <c r="H1465" s="13" t="str">
        <f>_xlfn.XLOOKUP(B1465,[1]!Tabela1[[Cidades ]],[1]!Tabela1[Gerente],0,0,1)</f>
        <v>Demais coordenadores</v>
      </c>
    </row>
    <row r="1466" spans="1:8" x14ac:dyDescent="0.3">
      <c r="A1466" s="4" t="s">
        <v>1586</v>
      </c>
      <c r="B1466" s="5" t="s">
        <v>72</v>
      </c>
      <c r="C1466" s="6">
        <v>45840</v>
      </c>
      <c r="D1466" s="7">
        <v>788656</v>
      </c>
      <c r="E1466" s="5" t="str">
        <f>_xlfn.XLOOKUP(D1466,[1]!Tabela24[Código consultor],[1]!Tabela24[Consultor Venda],0,0,1)</f>
        <v>PAR - STB - PAP - JOY TELECOM - GABRIELA ALVES DE GODOY</v>
      </c>
      <c r="F1466" s="5" t="str">
        <f>_xlfn.XLOOKUP(D1466,[1]!Tabela24[Código consultor],[1]!Tabela24[Canal Consultor],0,0,1)</f>
        <v>PAR_DIG</v>
      </c>
      <c r="G1466" s="5" t="str">
        <f>_xlfn.XLOOKUP(B1466,[1]!Tabela1[[Cidades ]],[1]!Tabela1[Regional],0,0,1)</f>
        <v>Maycon</v>
      </c>
      <c r="H1466" s="8" t="str">
        <f>_xlfn.XLOOKUP(B1466,[1]!Tabela1[[Cidades ]],[1]!Tabela1[Gerente],0,0,1)</f>
        <v>Demais coordenadores</v>
      </c>
    </row>
    <row r="1467" spans="1:8" x14ac:dyDescent="0.3">
      <c r="A1467" s="9" t="s">
        <v>1587</v>
      </c>
      <c r="B1467" s="10" t="s">
        <v>31</v>
      </c>
      <c r="C1467" s="11">
        <v>45840</v>
      </c>
      <c r="D1467" s="12">
        <v>382096</v>
      </c>
      <c r="E1467" s="5" t="str">
        <f>_xlfn.XLOOKUP(D1467,[1]!Tabela24[Código consultor],[1]!Tabela24[Consultor Venda],0,0,1)</f>
        <v>COM - CCO - VILSO ROBAL DOS SANTOS</v>
      </c>
      <c r="F1467" s="5" t="str">
        <f>_xlfn.XLOOKUP(D1467,[1]!Tabela24[Código consultor],[1]!Tabela24[Canal Consultor],0,0,1)</f>
        <v>INTERNO</v>
      </c>
      <c r="G1467" s="10" t="str">
        <f>_xlfn.XLOOKUP(B1467,[1]!Tabela1[[Cidades ]],[1]!Tabela1[Regional],0,0,1)</f>
        <v>Maycon</v>
      </c>
      <c r="H1467" s="13" t="str">
        <f>_xlfn.XLOOKUP(B1467,[1]!Tabela1[[Cidades ]],[1]!Tabela1[Gerente],0,0,1)</f>
        <v>Demais coordenadores</v>
      </c>
    </row>
    <row r="1468" spans="1:8" x14ac:dyDescent="0.3">
      <c r="A1468" s="4" t="s">
        <v>1588</v>
      </c>
      <c r="B1468" s="5" t="s">
        <v>11</v>
      </c>
      <c r="C1468" s="6">
        <v>45840</v>
      </c>
      <c r="D1468" s="7">
        <v>788656</v>
      </c>
      <c r="E1468" s="5" t="str">
        <f>_xlfn.XLOOKUP(D1468,[1]!Tabela24[Código consultor],[1]!Tabela24[Consultor Venda],0,0,1)</f>
        <v>PAR - STB - PAP - JOY TELECOM - GABRIELA ALVES DE GODOY</v>
      </c>
      <c r="F1468" s="5" t="str">
        <f>_xlfn.XLOOKUP(D1468,[1]!Tabela24[Código consultor],[1]!Tabela24[Canal Consultor],0,0,1)</f>
        <v>PAR_DIG</v>
      </c>
      <c r="G1468" s="5" t="str">
        <f>_xlfn.XLOOKUP(B1468,[1]!Tabela1[[Cidades ]],[1]!Tabela1[Regional],0,0,1)</f>
        <v>Magno</v>
      </c>
      <c r="H1468" s="8" t="str">
        <f>_xlfn.XLOOKUP(B1468,[1]!Tabela1[[Cidades ]],[1]!Tabela1[Gerente],0,0,1)</f>
        <v>Demais coordenadores</v>
      </c>
    </row>
    <row r="1469" spans="1:8" x14ac:dyDescent="0.3">
      <c r="A1469" s="9" t="s">
        <v>1589</v>
      </c>
      <c r="B1469" s="10" t="s">
        <v>31</v>
      </c>
      <c r="C1469" s="11">
        <v>45840</v>
      </c>
      <c r="D1469" s="12">
        <v>617463</v>
      </c>
      <c r="E1469" s="5" t="str">
        <f>_xlfn.XLOOKUP(D1469,[1]!Tabela24[Código consultor],[1]!Tabela24[Consultor Venda],0,0,1)</f>
        <v>DIG - CCO - ALEX AUGUSTO DA CRUZ RODRIGUES</v>
      </c>
      <c r="F1469" s="5" t="str">
        <f>_xlfn.XLOOKUP(D1469,[1]!Tabela24[Código consultor],[1]!Tabela24[Canal Consultor],0,0,1)</f>
        <v>DIGITAL</v>
      </c>
      <c r="G1469" s="10" t="str">
        <f>_xlfn.XLOOKUP(B1469,[1]!Tabela1[[Cidades ]],[1]!Tabela1[Regional],0,0,1)</f>
        <v>Maycon</v>
      </c>
      <c r="H1469" s="13" t="str">
        <f>_xlfn.XLOOKUP(B1469,[1]!Tabela1[[Cidades ]],[1]!Tabela1[Gerente],0,0,1)</f>
        <v>Demais coordenadores</v>
      </c>
    </row>
    <row r="1470" spans="1:8" x14ac:dyDescent="0.3">
      <c r="A1470" s="4" t="s">
        <v>149</v>
      </c>
      <c r="B1470" s="5" t="s">
        <v>18</v>
      </c>
      <c r="C1470" s="6">
        <v>45840</v>
      </c>
      <c r="D1470" s="7">
        <v>197832</v>
      </c>
      <c r="E1470" s="5" t="str">
        <f>_xlfn.XLOOKUP(D1470,[1]!Tabela24[Código consultor],[1]!Tabela24[Consultor Venda],0,0,1)</f>
        <v>DIG - CCO - RAIANE BERGAMIN</v>
      </c>
      <c r="F1470" s="5" t="str">
        <f>_xlfn.XLOOKUP(D1470,[1]!Tabela24[Código consultor],[1]!Tabela24[Canal Consultor],0,0,1)</f>
        <v>DIGITAL</v>
      </c>
      <c r="G1470" s="5" t="str">
        <f>_xlfn.XLOOKUP(B1470,[1]!Tabela1[[Cidades ]],[1]!Tabela1[Regional],0,0,1)</f>
        <v>Maycon</v>
      </c>
      <c r="H1470" s="8" t="str">
        <f>_xlfn.XLOOKUP(B1470,[1]!Tabela1[[Cidades ]],[1]!Tabela1[Gerente],0,0,1)</f>
        <v>Demais coordenadores</v>
      </c>
    </row>
    <row r="1471" spans="1:8" x14ac:dyDescent="0.3">
      <c r="A1471" s="9" t="s">
        <v>1590</v>
      </c>
      <c r="B1471" s="10" t="s">
        <v>76</v>
      </c>
      <c r="C1471" s="11">
        <v>45840</v>
      </c>
      <c r="D1471" s="12">
        <v>869886</v>
      </c>
      <c r="E1471" s="5" t="str">
        <f>_xlfn.XLOOKUP(D1471,[1]!Tabela24[Código consultor],[1]!Tabela24[Consultor Venda],0,0,1)</f>
        <v>COM - CIO - DALISON HENRIQUE DOS SANTOS</v>
      </c>
      <c r="F1471" s="5" t="str">
        <f>_xlfn.XLOOKUP(D1471,[1]!Tabela24[Código consultor],[1]!Tabela24[Canal Consultor],0,0,1)</f>
        <v>Pap</v>
      </c>
      <c r="G1471" s="10" t="str">
        <f>_xlfn.XLOOKUP(B1471,[1]!Tabela1[[Cidades ]],[1]!Tabela1[Regional],0,0,1)</f>
        <v>Alisson</v>
      </c>
      <c r="H1471" s="13" t="str">
        <f>_xlfn.XLOOKUP(B1471,[1]!Tabela1[[Cidades ]],[1]!Tabela1[Gerente],0,0,1)</f>
        <v>Helena</v>
      </c>
    </row>
    <row r="1472" spans="1:8" x14ac:dyDescent="0.3">
      <c r="A1472" s="4" t="s">
        <v>1591</v>
      </c>
      <c r="B1472" s="5" t="s">
        <v>31</v>
      </c>
      <c r="C1472" s="6">
        <v>45840</v>
      </c>
      <c r="D1472" s="7">
        <v>197832</v>
      </c>
      <c r="E1472" s="5" t="str">
        <f>_xlfn.XLOOKUP(D1472,[1]!Tabela24[Código consultor],[1]!Tabela24[Consultor Venda],0,0,1)</f>
        <v>DIG - CCO - RAIANE BERGAMIN</v>
      </c>
      <c r="F1472" s="5" t="str">
        <f>_xlfn.XLOOKUP(D1472,[1]!Tabela24[Código consultor],[1]!Tabela24[Canal Consultor],0,0,1)</f>
        <v>DIGITAL</v>
      </c>
      <c r="G1472" s="5" t="str">
        <f>_xlfn.XLOOKUP(B1472,[1]!Tabela1[[Cidades ]],[1]!Tabela1[Regional],0,0,1)</f>
        <v>Maycon</v>
      </c>
      <c r="H1472" s="8" t="str">
        <f>_xlfn.XLOOKUP(B1472,[1]!Tabela1[[Cidades ]],[1]!Tabela1[Gerente],0,0,1)</f>
        <v>Demais coordenadores</v>
      </c>
    </row>
    <row r="1473" spans="1:8" x14ac:dyDescent="0.3">
      <c r="A1473" s="9" t="s">
        <v>196</v>
      </c>
      <c r="B1473" s="10" t="s">
        <v>13</v>
      </c>
      <c r="C1473" s="11">
        <v>45840</v>
      </c>
      <c r="D1473" s="12">
        <v>883815</v>
      </c>
      <c r="E1473" s="5" t="str">
        <f>_xlfn.XLOOKUP(D1473,[1]!Tabela24[Código consultor],[1]!Tabela24[Consultor Venda],0,0,1)</f>
        <v>COM - PAS - HIAGO LANDIM TELES</v>
      </c>
      <c r="F1473" s="5" t="str">
        <f>_xlfn.XLOOKUP(D1473,[1]!Tabela24[Código consultor],[1]!Tabela24[Canal Consultor],0,0,1)</f>
        <v>INTERNO</v>
      </c>
      <c r="G1473" s="10" t="str">
        <f>_xlfn.XLOOKUP(B1473,[1]!Tabela1[[Cidades ]],[1]!Tabela1[Regional],0,0,1)</f>
        <v>Alisson</v>
      </c>
      <c r="H1473" s="13" t="str">
        <f>_xlfn.XLOOKUP(B1473,[1]!Tabela1[[Cidades ]],[1]!Tabela1[Gerente],0,0,1)</f>
        <v>Ariana</v>
      </c>
    </row>
    <row r="1474" spans="1:8" x14ac:dyDescent="0.3">
      <c r="A1474" s="4" t="s">
        <v>1592</v>
      </c>
      <c r="B1474" s="5" t="s">
        <v>28</v>
      </c>
      <c r="C1474" s="6">
        <v>45840</v>
      </c>
      <c r="D1474" s="7">
        <v>600710</v>
      </c>
      <c r="E1474" s="5" t="str">
        <f>_xlfn.XLOOKUP(D1474,[1]!Tabela24[Código consultor],[1]!Tabela24[Consultor Venda],0,0,1)</f>
        <v>DIG - CCO - BRUNA BALBINOTTI</v>
      </c>
      <c r="F1474" s="5" t="str">
        <f>_xlfn.XLOOKUP(D1474,[1]!Tabela24[Código consultor],[1]!Tabela24[Canal Consultor],0,0,1)</f>
        <v>DIGITAL</v>
      </c>
      <c r="G1474" s="5" t="str">
        <f>_xlfn.XLOOKUP(B1474,[1]!Tabela1[[Cidades ]],[1]!Tabela1[Regional],0,0,1)</f>
        <v>Magno</v>
      </c>
      <c r="H1474" s="8" t="str">
        <f>_xlfn.XLOOKUP(B1474,[1]!Tabela1[[Cidades ]],[1]!Tabela1[Gerente],0,0,1)</f>
        <v>Demais coordenadores</v>
      </c>
    </row>
    <row r="1475" spans="1:8" x14ac:dyDescent="0.3">
      <c r="A1475" s="9" t="s">
        <v>1593</v>
      </c>
      <c r="B1475" s="10" t="s">
        <v>55</v>
      </c>
      <c r="C1475" s="11">
        <v>45840</v>
      </c>
      <c r="D1475" s="12">
        <v>872122</v>
      </c>
      <c r="E1475" s="5" t="str">
        <f>_xlfn.XLOOKUP(D1475,[1]!Tabela24[Código consultor],[1]!Tabela24[Consultor Venda],0,0,1)</f>
        <v>PAR - COM - JCA - TECNOSERVI - ELISA MERCADO SPIELMANN</v>
      </c>
      <c r="F1475" s="5" t="str">
        <f>_xlfn.XLOOKUP(D1475,[1]!Tabela24[Código consultor],[1]!Tabela24[Canal Consultor],0,0,1)</f>
        <v>PAR</v>
      </c>
      <c r="G1475" s="10" t="str">
        <f>_xlfn.XLOOKUP(B1475,[1]!Tabela1[[Cidades ]],[1]!Tabela1[Regional],0,0,1)</f>
        <v>Maycon</v>
      </c>
      <c r="H1475" s="13" t="str">
        <f>_xlfn.XLOOKUP(B1475,[1]!Tabela1[[Cidades ]],[1]!Tabela1[Gerente],0,0,1)</f>
        <v>Demais coordenadores</v>
      </c>
    </row>
    <row r="1476" spans="1:8" x14ac:dyDescent="0.3">
      <c r="A1476" s="4" t="s">
        <v>1594</v>
      </c>
      <c r="B1476" s="5" t="s">
        <v>34</v>
      </c>
      <c r="C1476" s="6">
        <v>45840</v>
      </c>
      <c r="D1476" s="7">
        <v>213687</v>
      </c>
      <c r="E1476" s="5" t="str">
        <f>_xlfn.XLOOKUP(D1476,[1]!Tabela24[Código consultor],[1]!Tabela24[Consultor Venda],0,0,1)</f>
        <v>COM - ERE - GABRIELE FERREIRA FORTUNATO</v>
      </c>
      <c r="F1476" s="5" t="str">
        <f>_xlfn.XLOOKUP(D1476,[1]!Tabela24[Código consultor],[1]!Tabela24[Canal Consultor],0,0,1)</f>
        <v>INTERNO</v>
      </c>
      <c r="G1476" s="5" t="str">
        <f>_xlfn.XLOOKUP(B1476,[1]!Tabela1[[Cidades ]],[1]!Tabela1[Regional],0,0,1)</f>
        <v>Alisson</v>
      </c>
      <c r="H1476" s="8" t="str">
        <f>_xlfn.XLOOKUP(B1476,[1]!Tabela1[[Cidades ]],[1]!Tabela1[Gerente],0,0,1)</f>
        <v>Karine</v>
      </c>
    </row>
    <row r="1477" spans="1:8" x14ac:dyDescent="0.3">
      <c r="A1477" s="9" t="s">
        <v>1595</v>
      </c>
      <c r="B1477" s="10" t="s">
        <v>34</v>
      </c>
      <c r="C1477" s="11">
        <v>45840</v>
      </c>
      <c r="D1477" s="12">
        <v>883213</v>
      </c>
      <c r="E1477" s="5" t="str">
        <f>_xlfn.XLOOKUP(D1477,[1]!Tabela24[Código consultor],[1]!Tabela24[Consultor Venda],0,0,1)</f>
        <v>COM - ERE - FABIANA HESS SOARES</v>
      </c>
      <c r="F1477" s="5" t="str">
        <f>_xlfn.XLOOKUP(D1477,[1]!Tabela24[Código consultor],[1]!Tabela24[Canal Consultor],0,0,1)</f>
        <v>INTERNO</v>
      </c>
      <c r="G1477" s="10" t="str">
        <f>_xlfn.XLOOKUP(B1477,[1]!Tabela1[[Cidades ]],[1]!Tabela1[Regional],0,0,1)</f>
        <v>Alisson</v>
      </c>
      <c r="H1477" s="13" t="str">
        <f>_xlfn.XLOOKUP(B1477,[1]!Tabela1[[Cidades ]],[1]!Tabela1[Gerente],0,0,1)</f>
        <v>Karine</v>
      </c>
    </row>
    <row r="1478" spans="1:8" x14ac:dyDescent="0.3">
      <c r="A1478" s="4" t="s">
        <v>1596</v>
      </c>
      <c r="B1478" s="5" t="s">
        <v>46</v>
      </c>
      <c r="C1478" s="6">
        <v>45840</v>
      </c>
      <c r="D1478" s="7">
        <v>864113</v>
      </c>
      <c r="E1478" s="5" t="str">
        <f>_xlfn.XLOOKUP(D1478,[1]!Tabela24[Código consultor],[1]!Tabela24[Consultor Venda],0,0,1)</f>
        <v>COM - BGV - ELISA LUDIMILA MORAES DE LIMA</v>
      </c>
      <c r="F1478" s="5" t="str">
        <f>_xlfn.XLOOKUP(D1478,[1]!Tabela24[Código consultor],[1]!Tabela24[Canal Consultor],0,0,1)</f>
        <v>INTERNO</v>
      </c>
      <c r="G1478" s="5" t="str">
        <f>_xlfn.XLOOKUP(B1478,[1]!Tabela1[[Cidades ]],[1]!Tabela1[Regional],0,0,1)</f>
        <v>Magno</v>
      </c>
      <c r="H1478" s="8" t="str">
        <f>_xlfn.XLOOKUP(B1478,[1]!Tabela1[[Cidades ]],[1]!Tabela1[Gerente],0,0,1)</f>
        <v>Demais coordenadores</v>
      </c>
    </row>
    <row r="1479" spans="1:8" x14ac:dyDescent="0.3">
      <c r="A1479" s="9" t="s">
        <v>1106</v>
      </c>
      <c r="B1479" s="10" t="s">
        <v>76</v>
      </c>
      <c r="C1479" s="11">
        <v>45840</v>
      </c>
      <c r="D1479" s="12">
        <v>878787</v>
      </c>
      <c r="E1479" s="5" t="str">
        <f>_xlfn.XLOOKUP(D1479,[1]!Tabela24[Código consultor],[1]!Tabela24[Consultor Venda],0,0,1)</f>
        <v>COM - CIO - STEFANY WOLFART DOS SANTOS</v>
      </c>
      <c r="F1479" s="5" t="str">
        <f>_xlfn.XLOOKUP(D1479,[1]!Tabela24[Código consultor],[1]!Tabela24[Canal Consultor],0,0,1)</f>
        <v>Pap</v>
      </c>
      <c r="G1479" s="10" t="str">
        <f>_xlfn.XLOOKUP(B1479,[1]!Tabela1[[Cidades ]],[1]!Tabela1[Regional],0,0,1)</f>
        <v>Alisson</v>
      </c>
      <c r="H1479" s="13" t="str">
        <f>_xlfn.XLOOKUP(B1479,[1]!Tabela1[[Cidades ]],[1]!Tabela1[Gerente],0,0,1)</f>
        <v>Helena</v>
      </c>
    </row>
    <row r="1480" spans="1:8" x14ac:dyDescent="0.3">
      <c r="A1480" s="4" t="s">
        <v>1597</v>
      </c>
      <c r="B1480" s="5" t="s">
        <v>10</v>
      </c>
      <c r="C1480" s="6">
        <v>45840</v>
      </c>
      <c r="D1480" s="7">
        <v>525458</v>
      </c>
      <c r="E1480" s="5" t="str">
        <f>_xlfn.XLOOKUP(D1480,[1]!Tabela24[Código consultor],[1]!Tabela24[Consultor Venda],0,0,1)</f>
        <v>PAR - ADM - GRP - FIGUEREDO MOBILE  - JOSELIO O. P. JUNIOR</v>
      </c>
      <c r="F1480" s="5" t="str">
        <f>_xlfn.XLOOKUP(D1480,[1]!Tabela24[Código consultor],[1]!Tabela24[Canal Consultor],0,0,1)</f>
        <v>PAR</v>
      </c>
      <c r="G1480" s="5" t="str">
        <f>_xlfn.XLOOKUP(B1480,[1]!Tabela1[[Cidades ]],[1]!Tabela1[Regional],0,0,1)</f>
        <v>Jean</v>
      </c>
      <c r="H1480" s="8" t="str">
        <f>_xlfn.XLOOKUP(B1480,[1]!Tabela1[[Cidades ]],[1]!Tabela1[Gerente],0,0,1)</f>
        <v>Demais coordenadores</v>
      </c>
    </row>
    <row r="1481" spans="1:8" x14ac:dyDescent="0.3">
      <c r="A1481" s="9" t="s">
        <v>1598</v>
      </c>
      <c r="B1481" s="10" t="s">
        <v>11</v>
      </c>
      <c r="C1481" s="11">
        <v>45840</v>
      </c>
      <c r="D1481" s="12">
        <v>600710</v>
      </c>
      <c r="E1481" s="5" t="str">
        <f>_xlfn.XLOOKUP(D1481,[1]!Tabela24[Código consultor],[1]!Tabela24[Consultor Venda],0,0,1)</f>
        <v>DIG - CCO - BRUNA BALBINOTTI</v>
      </c>
      <c r="F1481" s="5" t="str">
        <f>_xlfn.XLOOKUP(D1481,[1]!Tabela24[Código consultor],[1]!Tabela24[Canal Consultor],0,0,1)</f>
        <v>DIGITAL</v>
      </c>
      <c r="G1481" s="10" t="str">
        <f>_xlfn.XLOOKUP(B1481,[1]!Tabela1[[Cidades ]],[1]!Tabela1[Regional],0,0,1)</f>
        <v>Magno</v>
      </c>
      <c r="H1481" s="13" t="str">
        <f>_xlfn.XLOOKUP(B1481,[1]!Tabela1[[Cidades ]],[1]!Tabela1[Gerente],0,0,1)</f>
        <v>Demais coordenadores</v>
      </c>
    </row>
    <row r="1482" spans="1:8" x14ac:dyDescent="0.3">
      <c r="A1482" s="4" t="s">
        <v>1599</v>
      </c>
      <c r="B1482" s="5" t="s">
        <v>62</v>
      </c>
      <c r="C1482" s="6">
        <v>45840</v>
      </c>
      <c r="D1482" s="7">
        <v>694166</v>
      </c>
      <c r="E1482" s="5" t="str">
        <f>_xlfn.XLOOKUP(D1482,[1]!Tabela24[Código consultor],[1]!Tabela24[Consultor Venda],0,0,1)</f>
        <v>DIG - CCO - CARINE CORREA SOARES</v>
      </c>
      <c r="F1482" s="5" t="str">
        <f>_xlfn.XLOOKUP(D1482,[1]!Tabela24[Código consultor],[1]!Tabela24[Canal Consultor],0,0,1)</f>
        <v>DIGITAL</v>
      </c>
      <c r="G1482" s="5" t="str">
        <f>_xlfn.XLOOKUP(B1482,[1]!Tabela1[[Cidades ]],[1]!Tabela1[Regional],0,0,1)</f>
        <v>Adilson</v>
      </c>
      <c r="H1482" s="8" t="str">
        <f>_xlfn.XLOOKUP(B1482,[1]!Tabela1[[Cidades ]],[1]!Tabela1[Gerente],0,0,1)</f>
        <v>Demais coordenadores</v>
      </c>
    </row>
    <row r="1483" spans="1:8" x14ac:dyDescent="0.3">
      <c r="A1483" s="9" t="s">
        <v>1600</v>
      </c>
      <c r="B1483" s="10" t="s">
        <v>32</v>
      </c>
      <c r="C1483" s="11">
        <v>45840</v>
      </c>
      <c r="D1483" s="12">
        <v>873643</v>
      </c>
      <c r="E1483" s="5" t="str">
        <f>_xlfn.XLOOKUP(D1483,[1]!Tabela24[Código consultor],[1]!Tabela24[Consultor Venda],0,0,1)</f>
        <v>COM - IGA - EMILI JULIANA DE OLIVEIRA SOUTO</v>
      </c>
      <c r="F1483" s="5" t="str">
        <f>_xlfn.XLOOKUP(D1483,[1]!Tabela24[Código consultor],[1]!Tabela24[Canal Consultor],0,0,1)</f>
        <v>INTERNO</v>
      </c>
      <c r="G1483" s="10" t="str">
        <f>_xlfn.XLOOKUP(B1483,[1]!Tabela1[[Cidades ]],[1]!Tabela1[Regional],0,0,1)</f>
        <v>Jean</v>
      </c>
      <c r="H1483" s="13" t="str">
        <f>_xlfn.XLOOKUP(B1483,[1]!Tabela1[[Cidades ]],[1]!Tabela1[Gerente],0,0,1)</f>
        <v>Demais coordenadores</v>
      </c>
    </row>
    <row r="1484" spans="1:8" x14ac:dyDescent="0.3">
      <c r="A1484" s="4" t="s">
        <v>1601</v>
      </c>
      <c r="B1484" s="5" t="s">
        <v>115</v>
      </c>
      <c r="C1484" s="6">
        <v>45840</v>
      </c>
      <c r="D1484" s="7">
        <v>827465</v>
      </c>
      <c r="E1484" s="5" t="str">
        <f>_xlfn.XLOOKUP(D1484,[1]!Tabela24[Código consultor],[1]!Tabela24[Consultor Venda],0,0,1)</f>
        <v>DIG - ATV - TAINARA RODRIGUES CORDEIRO</v>
      </c>
      <c r="F1484" s="5" t="str">
        <f>_xlfn.XLOOKUP(D1484,[1]!Tabela24[Código consultor],[1]!Tabela24[Canal Consultor],0,0,1)</f>
        <v>Televendas Ativo</v>
      </c>
      <c r="G1484" s="5" t="str">
        <f>_xlfn.XLOOKUP(B1484,[1]!Tabela1[[Cidades ]],[1]!Tabela1[Regional],0,0,1)</f>
        <v>Jean</v>
      </c>
      <c r="H1484" s="8" t="str">
        <f>_xlfn.XLOOKUP(B1484,[1]!Tabela1[[Cidades ]],[1]!Tabela1[Gerente],0,0,1)</f>
        <v>Demais coordenadores</v>
      </c>
    </row>
    <row r="1485" spans="1:8" x14ac:dyDescent="0.3">
      <c r="A1485" s="9" t="s">
        <v>1602</v>
      </c>
      <c r="B1485" s="10" t="s">
        <v>57</v>
      </c>
      <c r="C1485" s="11">
        <v>45840</v>
      </c>
      <c r="D1485" s="12">
        <v>875521</v>
      </c>
      <c r="E1485" s="5" t="str">
        <f>_xlfn.XLOOKUP(D1485,[1]!Tabela24[Código consultor],[1]!Tabela24[Consultor Venda],0,0,1)</f>
        <v>COM - PLI - CAMILLY SUELEN DE PAULA DE OLIVEIRA</v>
      </c>
      <c r="F1485" s="5" t="str">
        <f>_xlfn.XLOOKUP(D1485,[1]!Tabela24[Código consultor],[1]!Tabela24[Canal Consultor],0,0,1)</f>
        <v>INTERNO</v>
      </c>
      <c r="G1485" s="10" t="str">
        <f>_xlfn.XLOOKUP(B1485,[1]!Tabela1[[Cidades ]],[1]!Tabela1[Regional],0,0,1)</f>
        <v>Maycon</v>
      </c>
      <c r="H1485" s="13" t="str">
        <f>_xlfn.XLOOKUP(B1485,[1]!Tabela1[[Cidades ]],[1]!Tabela1[Gerente],0,0,1)</f>
        <v>Demais coordenadores</v>
      </c>
    </row>
    <row r="1486" spans="1:8" x14ac:dyDescent="0.3">
      <c r="A1486" s="4" t="s">
        <v>1603</v>
      </c>
      <c r="B1486" s="5" t="s">
        <v>42</v>
      </c>
      <c r="C1486" s="6">
        <v>45840</v>
      </c>
      <c r="D1486" s="7">
        <v>836541</v>
      </c>
      <c r="E1486" s="5" t="str">
        <f>_xlfn.XLOOKUP(D1486,[1]!Tabela24[Código consultor],[1]!Tabela24[Consultor Venda],0,0,1)</f>
        <v>COM - CDA - SARA DA SILVA LESSE</v>
      </c>
      <c r="F1486" s="5" t="str">
        <f>_xlfn.XLOOKUP(D1486,[1]!Tabela24[Código consultor],[1]!Tabela24[Canal Consultor],0,0,1)</f>
        <v>INTERNO</v>
      </c>
      <c r="G1486" s="5" t="str">
        <f>_xlfn.XLOOKUP(B1486,[1]!Tabela1[[Cidades ]],[1]!Tabela1[Regional],0,0,1)</f>
        <v>Maycon</v>
      </c>
      <c r="H1486" s="8" t="str">
        <f>_xlfn.XLOOKUP(B1486,[1]!Tabela1[[Cidades ]],[1]!Tabela1[Gerente],0,0,1)</f>
        <v>Demais coordenadores</v>
      </c>
    </row>
    <row r="1487" spans="1:8" x14ac:dyDescent="0.3">
      <c r="A1487" s="9" t="s">
        <v>1604</v>
      </c>
      <c r="B1487" s="10" t="s">
        <v>59</v>
      </c>
      <c r="C1487" s="11">
        <v>45840</v>
      </c>
      <c r="D1487" s="12">
        <v>235841</v>
      </c>
      <c r="E1487" s="5" t="str">
        <f>_xlfn.XLOOKUP(D1487,[1]!Tabela24[Código consultor],[1]!Tabela24[Consultor Venda],0,0,1)</f>
        <v>DIG - CCO - KAUANA BONI</v>
      </c>
      <c r="F1487" s="5" t="str">
        <f>_xlfn.XLOOKUP(D1487,[1]!Tabela24[Código consultor],[1]!Tabela24[Canal Consultor],0,0,1)</f>
        <v>DIGITAL</v>
      </c>
      <c r="G1487" s="10" t="str">
        <f>_xlfn.XLOOKUP(B1487,[1]!Tabela1[[Cidades ]],[1]!Tabela1[Regional],0,0,1)</f>
        <v>Adilson</v>
      </c>
      <c r="H1487" s="13" t="str">
        <f>_xlfn.XLOOKUP(B1487,[1]!Tabela1[[Cidades ]],[1]!Tabela1[Gerente],0,0,1)</f>
        <v>Demais coordenadores</v>
      </c>
    </row>
    <row r="1488" spans="1:8" x14ac:dyDescent="0.3">
      <c r="A1488" s="4" t="s">
        <v>1605</v>
      </c>
      <c r="B1488" s="5" t="s">
        <v>59</v>
      </c>
      <c r="C1488" s="6">
        <v>45840</v>
      </c>
      <c r="D1488" s="7">
        <v>683349</v>
      </c>
      <c r="E1488" s="5" t="str">
        <f>_xlfn.XLOOKUP(D1488,[1]!Tabela24[Código consultor],[1]!Tabela24[Consultor Venda],0,0,1)</f>
        <v>DIG - CCO - EVELLIN SALOA MAIA DA CONCEICAO</v>
      </c>
      <c r="F1488" s="5" t="str">
        <f>_xlfn.XLOOKUP(D1488,[1]!Tabela24[Código consultor],[1]!Tabela24[Canal Consultor],0,0,1)</f>
        <v>DIGITAL</v>
      </c>
      <c r="G1488" s="5" t="str">
        <f>_xlfn.XLOOKUP(B1488,[1]!Tabela1[[Cidades ]],[1]!Tabela1[Regional],0,0,1)</f>
        <v>Adilson</v>
      </c>
      <c r="H1488" s="8" t="str">
        <f>_xlfn.XLOOKUP(B1488,[1]!Tabela1[[Cidades ]],[1]!Tabela1[Gerente],0,0,1)</f>
        <v>Demais coordenadores</v>
      </c>
    </row>
    <row r="1489" spans="1:8" x14ac:dyDescent="0.3">
      <c r="A1489" s="9" t="s">
        <v>1606</v>
      </c>
      <c r="B1489" s="10" t="s">
        <v>114</v>
      </c>
      <c r="C1489" s="11">
        <v>45840</v>
      </c>
      <c r="D1489" s="12">
        <v>475861</v>
      </c>
      <c r="E1489" s="5" t="str">
        <f>_xlfn.XLOOKUP(D1489,[1]!Tabela24[Código consultor],[1]!Tabela24[Consultor Venda],0,0,1)</f>
        <v>COM - UMR - PAULO EDUARDO RESENDE CORSINI</v>
      </c>
      <c r="F1489" s="5" t="str">
        <f>_xlfn.XLOOKUP(D1489,[1]!Tabela24[Código consultor],[1]!Tabela24[Canal Consultor],0,0,1)</f>
        <v>INTERNO</v>
      </c>
      <c r="G1489" s="10" t="str">
        <f>_xlfn.XLOOKUP(B1489,[1]!Tabela1[[Cidades ]],[1]!Tabela1[Regional],0,0,1)</f>
        <v>Adilson</v>
      </c>
      <c r="H1489" s="13" t="str">
        <f>_xlfn.XLOOKUP(B1489,[1]!Tabela1[[Cidades ]],[1]!Tabela1[Gerente],0,0,1)</f>
        <v>Demais coordenadores</v>
      </c>
    </row>
    <row r="1490" spans="1:8" x14ac:dyDescent="0.3">
      <c r="A1490" s="4" t="s">
        <v>131</v>
      </c>
      <c r="B1490" s="5" t="s">
        <v>22</v>
      </c>
      <c r="C1490" s="6">
        <v>45840</v>
      </c>
      <c r="D1490" s="7">
        <v>822770</v>
      </c>
      <c r="E1490" s="5" t="str">
        <f>_xlfn.XLOOKUP(D1490,[1]!Tabela24[Código consultor],[1]!Tabela24[Consultor Venda],0,0,1)</f>
        <v>COM - SCR - VINICIUS ALCEMAR DA SILVA</v>
      </c>
      <c r="F1490" s="5" t="str">
        <f>_xlfn.XLOOKUP(D1490,[1]!Tabela24[Código consultor],[1]!Tabela24[Canal Consultor],0,0,1)</f>
        <v>Pap</v>
      </c>
      <c r="G1490" s="5" t="str">
        <f>_xlfn.XLOOKUP(B1490,[1]!Tabela1[[Cidades ]],[1]!Tabela1[Regional],0,0,1)</f>
        <v>Magno</v>
      </c>
      <c r="H1490" s="8" t="str">
        <f>_xlfn.XLOOKUP(B1490,[1]!Tabela1[[Cidades ]],[1]!Tabela1[Gerente],0,0,1)</f>
        <v>Demais coordenadores</v>
      </c>
    </row>
    <row r="1491" spans="1:8" x14ac:dyDescent="0.3">
      <c r="A1491" s="9" t="s">
        <v>220</v>
      </c>
      <c r="B1491" s="10" t="s">
        <v>28</v>
      </c>
      <c r="C1491" s="11">
        <v>45840</v>
      </c>
      <c r="D1491" s="12">
        <v>197832</v>
      </c>
      <c r="E1491" s="5" t="str">
        <f>_xlfn.XLOOKUP(D1491,[1]!Tabela24[Código consultor],[1]!Tabela24[Consultor Venda],0,0,1)</f>
        <v>DIG - CCO - RAIANE BERGAMIN</v>
      </c>
      <c r="F1491" s="5" t="str">
        <f>_xlfn.XLOOKUP(D1491,[1]!Tabela24[Código consultor],[1]!Tabela24[Canal Consultor],0,0,1)</f>
        <v>DIGITAL</v>
      </c>
      <c r="G1491" s="10" t="str">
        <f>_xlfn.XLOOKUP(B1491,[1]!Tabela1[[Cidades ]],[1]!Tabela1[Regional],0,0,1)</f>
        <v>Magno</v>
      </c>
      <c r="H1491" s="13" t="str">
        <f>_xlfn.XLOOKUP(B1491,[1]!Tabela1[[Cidades ]],[1]!Tabela1[Gerente],0,0,1)</f>
        <v>Demais coordenadores</v>
      </c>
    </row>
    <row r="1492" spans="1:8" x14ac:dyDescent="0.3">
      <c r="A1492" s="4" t="s">
        <v>1607</v>
      </c>
      <c r="B1492" s="5" t="s">
        <v>16</v>
      </c>
      <c r="C1492" s="6">
        <v>45840</v>
      </c>
      <c r="D1492" s="7">
        <v>788656</v>
      </c>
      <c r="E1492" s="5" t="str">
        <f>_xlfn.XLOOKUP(D1492,[1]!Tabela24[Código consultor],[1]!Tabela24[Consultor Venda],0,0,1)</f>
        <v>PAR - STB - PAP - JOY TELECOM - GABRIELA ALVES DE GODOY</v>
      </c>
      <c r="F1492" s="5" t="str">
        <f>_xlfn.XLOOKUP(D1492,[1]!Tabela24[Código consultor],[1]!Tabela24[Canal Consultor],0,0,1)</f>
        <v>PAR_DIG</v>
      </c>
      <c r="G1492" s="5" t="str">
        <f>_xlfn.XLOOKUP(B1492,[1]!Tabela1[[Cidades ]],[1]!Tabela1[Regional],0,0,1)</f>
        <v>Magno</v>
      </c>
      <c r="H1492" s="8" t="str">
        <f>_xlfn.XLOOKUP(B1492,[1]!Tabela1[[Cidades ]],[1]!Tabela1[Gerente],0,0,1)</f>
        <v>Demais coordenadores</v>
      </c>
    </row>
    <row r="1493" spans="1:8" x14ac:dyDescent="0.3">
      <c r="A1493" s="9" t="s">
        <v>1608</v>
      </c>
      <c r="B1493" s="10" t="s">
        <v>46</v>
      </c>
      <c r="C1493" s="11">
        <v>45840</v>
      </c>
      <c r="D1493" s="12">
        <v>827465</v>
      </c>
      <c r="E1493" s="5" t="str">
        <f>_xlfn.XLOOKUP(D1493,[1]!Tabela24[Código consultor],[1]!Tabela24[Consultor Venda],0,0,1)</f>
        <v>DIG - ATV - TAINARA RODRIGUES CORDEIRO</v>
      </c>
      <c r="F1493" s="5" t="str">
        <f>_xlfn.XLOOKUP(D1493,[1]!Tabela24[Código consultor],[1]!Tabela24[Canal Consultor],0,0,1)</f>
        <v>Televendas Ativo</v>
      </c>
      <c r="G1493" s="10" t="str">
        <f>_xlfn.XLOOKUP(B1493,[1]!Tabela1[[Cidades ]],[1]!Tabela1[Regional],0,0,1)</f>
        <v>Magno</v>
      </c>
      <c r="H1493" s="13" t="str">
        <f>_xlfn.XLOOKUP(B1493,[1]!Tabela1[[Cidades ]],[1]!Tabela1[Gerente],0,0,1)</f>
        <v>Demais coordenadores</v>
      </c>
    </row>
    <row r="1494" spans="1:8" x14ac:dyDescent="0.3">
      <c r="A1494" s="4" t="s">
        <v>1609</v>
      </c>
      <c r="B1494" s="5" t="s">
        <v>28</v>
      </c>
      <c r="C1494" s="6">
        <v>45840</v>
      </c>
      <c r="D1494" s="7">
        <v>687319</v>
      </c>
      <c r="E1494" s="5" t="str">
        <f>_xlfn.XLOOKUP(D1494,[1]!Tabela24[Código consultor],[1]!Tabela24[Consultor Venda],0,0,1)</f>
        <v>COM - LJO - AMANDA CRISTINA DIETTRICH</v>
      </c>
      <c r="F1494" s="5" t="str">
        <f>_xlfn.XLOOKUP(D1494,[1]!Tabela24[Código consultor],[1]!Tabela24[Canal Consultor],0,0,1)</f>
        <v>INTERNO</v>
      </c>
      <c r="G1494" s="5" t="str">
        <f>_xlfn.XLOOKUP(B1494,[1]!Tabela1[[Cidades ]],[1]!Tabela1[Regional],0,0,1)</f>
        <v>Magno</v>
      </c>
      <c r="H1494" s="8" t="str">
        <f>_xlfn.XLOOKUP(B1494,[1]!Tabela1[[Cidades ]],[1]!Tabela1[Gerente],0,0,1)</f>
        <v>Demais coordenadores</v>
      </c>
    </row>
    <row r="1495" spans="1:8" x14ac:dyDescent="0.3">
      <c r="A1495" s="9" t="s">
        <v>1610</v>
      </c>
      <c r="B1495" s="10" t="s">
        <v>16</v>
      </c>
      <c r="C1495" s="11">
        <v>45840</v>
      </c>
      <c r="D1495" s="12">
        <v>830617</v>
      </c>
      <c r="E1495" s="5" t="str">
        <f>_xlfn.XLOOKUP(D1495,[1]!Tabela24[Código consultor],[1]!Tabela24[Consultor Venda],0,0,1)</f>
        <v>COM - CSL - ERIKA LEITE VENTURA MACHADO</v>
      </c>
      <c r="F1495" s="5" t="str">
        <f>_xlfn.XLOOKUP(D1495,[1]!Tabela24[Código consultor],[1]!Tabela24[Canal Consultor],0,0,1)</f>
        <v>INTERNO</v>
      </c>
      <c r="G1495" s="10" t="str">
        <f>_xlfn.XLOOKUP(B1495,[1]!Tabela1[[Cidades ]],[1]!Tabela1[Regional],0,0,1)</f>
        <v>Magno</v>
      </c>
      <c r="H1495" s="13" t="str">
        <f>_xlfn.XLOOKUP(B1495,[1]!Tabela1[[Cidades ]],[1]!Tabela1[Gerente],0,0,1)</f>
        <v>Demais coordenadores</v>
      </c>
    </row>
    <row r="1496" spans="1:8" x14ac:dyDescent="0.3">
      <c r="A1496" s="4" t="s">
        <v>1611</v>
      </c>
      <c r="B1496" s="5" t="s">
        <v>22</v>
      </c>
      <c r="C1496" s="6">
        <v>45840</v>
      </c>
      <c r="D1496" s="7">
        <v>822770</v>
      </c>
      <c r="E1496" s="5" t="str">
        <f>_xlfn.XLOOKUP(D1496,[1]!Tabela24[Código consultor],[1]!Tabela24[Consultor Venda],0,0,1)</f>
        <v>COM - SCR - VINICIUS ALCEMAR DA SILVA</v>
      </c>
      <c r="F1496" s="5" t="str">
        <f>_xlfn.XLOOKUP(D1496,[1]!Tabela24[Código consultor],[1]!Tabela24[Canal Consultor],0,0,1)</f>
        <v>Pap</v>
      </c>
      <c r="G1496" s="5" t="str">
        <f>_xlfn.XLOOKUP(B1496,[1]!Tabela1[[Cidades ]],[1]!Tabela1[Regional],0,0,1)</f>
        <v>Magno</v>
      </c>
      <c r="H1496" s="8" t="str">
        <f>_xlfn.XLOOKUP(B1496,[1]!Tabela1[[Cidades ]],[1]!Tabela1[Gerente],0,0,1)</f>
        <v>Demais coordenadores</v>
      </c>
    </row>
    <row r="1497" spans="1:8" x14ac:dyDescent="0.3">
      <c r="A1497" s="9" t="s">
        <v>1612</v>
      </c>
      <c r="B1497" s="10" t="s">
        <v>22</v>
      </c>
      <c r="C1497" s="11">
        <v>45840</v>
      </c>
      <c r="D1497" s="12">
        <v>736256</v>
      </c>
      <c r="E1497" s="5" t="str">
        <f>_xlfn.XLOOKUP(D1497,[1]!Tabela24[Código consultor],[1]!Tabela24[Consultor Venda],0,0,1)</f>
        <v>COM - SCR - JANICE CRISTINA RODRIGUES</v>
      </c>
      <c r="F1497" s="5" t="str">
        <f>_xlfn.XLOOKUP(D1497,[1]!Tabela24[Código consultor],[1]!Tabela24[Canal Consultor],0,0,1)</f>
        <v>INTERNO</v>
      </c>
      <c r="G1497" s="10" t="str">
        <f>_xlfn.XLOOKUP(B1497,[1]!Tabela1[[Cidades ]],[1]!Tabela1[Regional],0,0,1)</f>
        <v>Magno</v>
      </c>
      <c r="H1497" s="13" t="str">
        <f>_xlfn.XLOOKUP(B1497,[1]!Tabela1[[Cidades ]],[1]!Tabela1[Gerente],0,0,1)</f>
        <v>Demais coordenadores</v>
      </c>
    </row>
    <row r="1498" spans="1:8" x14ac:dyDescent="0.3">
      <c r="A1498" s="4" t="s">
        <v>1613</v>
      </c>
      <c r="B1498" s="5" t="s">
        <v>81</v>
      </c>
      <c r="C1498" s="6">
        <v>45840</v>
      </c>
      <c r="D1498" s="7">
        <v>485228</v>
      </c>
      <c r="E1498" s="5" t="str">
        <f>_xlfn.XLOOKUP(D1498,[1]!Tabela24[Código consultor],[1]!Tabela24[Consultor Venda],0,0,1)</f>
        <v>COM - UMR - RAFAEL BAZZANELA CARDOSO DE SOUZA</v>
      </c>
      <c r="F1498" s="5" t="str">
        <f>_xlfn.XLOOKUP(D1498,[1]!Tabela24[Código consultor],[1]!Tabela24[Canal Consultor],0,0,1)</f>
        <v>INTERNO</v>
      </c>
      <c r="G1498" s="5" t="str">
        <f>_xlfn.XLOOKUP(B1498,[1]!Tabela1[[Cidades ]],[1]!Tabela1[Regional],0,0,1)</f>
        <v>Adilson</v>
      </c>
      <c r="H1498" s="8" t="str">
        <f>_xlfn.XLOOKUP(B1498,[1]!Tabela1[[Cidades ]],[1]!Tabela1[Gerente],0,0,1)</f>
        <v>Demais coordenadores</v>
      </c>
    </row>
    <row r="1499" spans="1:8" x14ac:dyDescent="0.3">
      <c r="A1499" s="9" t="s">
        <v>1614</v>
      </c>
      <c r="B1499" s="10" t="s">
        <v>22</v>
      </c>
      <c r="C1499" s="11">
        <v>45840</v>
      </c>
      <c r="D1499" s="12">
        <v>788656</v>
      </c>
      <c r="E1499" s="5" t="str">
        <f>_xlfn.XLOOKUP(D1499,[1]!Tabela24[Código consultor],[1]!Tabela24[Consultor Venda],0,0,1)</f>
        <v>PAR - STB - PAP - JOY TELECOM - GABRIELA ALVES DE GODOY</v>
      </c>
      <c r="F1499" s="5" t="str">
        <f>_xlfn.XLOOKUP(D1499,[1]!Tabela24[Código consultor],[1]!Tabela24[Canal Consultor],0,0,1)</f>
        <v>PAR_DIG</v>
      </c>
      <c r="G1499" s="10" t="str">
        <f>_xlfn.XLOOKUP(B1499,[1]!Tabela1[[Cidades ]],[1]!Tabela1[Regional],0,0,1)</f>
        <v>Magno</v>
      </c>
      <c r="H1499" s="13" t="str">
        <f>_xlfn.XLOOKUP(B1499,[1]!Tabela1[[Cidades ]],[1]!Tabela1[Gerente],0,0,1)</f>
        <v>Demais coordenadores</v>
      </c>
    </row>
    <row r="1500" spans="1:8" x14ac:dyDescent="0.3">
      <c r="A1500" s="4" t="s">
        <v>1615</v>
      </c>
      <c r="B1500" s="5" t="s">
        <v>19</v>
      </c>
      <c r="C1500" s="6">
        <v>45840</v>
      </c>
      <c r="D1500" s="7">
        <v>262147</v>
      </c>
      <c r="E1500" s="5" t="str">
        <f>_xlfn.XLOOKUP(D1500,[1]!Tabela24[Código consultor],[1]!Tabela24[Consultor Venda],0,0,1)</f>
        <v>COM - GTI - ALESANDRA PETRY BRAZEIRO</v>
      </c>
      <c r="F1500" s="5" t="str">
        <f>_xlfn.XLOOKUP(D1500,[1]!Tabela24[Código consultor],[1]!Tabela24[Canal Consultor],0,0,1)</f>
        <v>Pap</v>
      </c>
      <c r="G1500" s="5" t="str">
        <f>_xlfn.XLOOKUP(B1500,[1]!Tabela1[[Cidades ]],[1]!Tabela1[Regional],0,0,1)</f>
        <v>Magno</v>
      </c>
      <c r="H1500" s="8" t="str">
        <f>_xlfn.XLOOKUP(B1500,[1]!Tabela1[[Cidades ]],[1]!Tabela1[Gerente],0,0,1)</f>
        <v>Demais coordenadores</v>
      </c>
    </row>
    <row r="1501" spans="1:8" x14ac:dyDescent="0.3">
      <c r="A1501" s="9" t="s">
        <v>221</v>
      </c>
      <c r="B1501" s="10" t="s">
        <v>23</v>
      </c>
      <c r="C1501" s="11">
        <v>45840</v>
      </c>
      <c r="D1501" s="12">
        <v>876162</v>
      </c>
      <c r="E1501" s="5" t="str">
        <f>_xlfn.XLOOKUP(D1501,[1]!Tabela24[Código consultor],[1]!Tabela24[Consultor Venda],0,0,1)</f>
        <v>COM - CAN - PAULA VITORIA ELIAS VIEIRA</v>
      </c>
      <c r="F1501" s="5" t="str">
        <f>_xlfn.XLOOKUP(D1501,[1]!Tabela24[Código consultor],[1]!Tabela24[Canal Consultor],0,0,1)</f>
        <v>Pap</v>
      </c>
      <c r="G1501" s="10" t="str">
        <f>_xlfn.XLOOKUP(B1501,[1]!Tabela1[[Cidades ]],[1]!Tabela1[Regional],0,0,1)</f>
        <v>Magno</v>
      </c>
      <c r="H1501" s="13" t="str">
        <f>_xlfn.XLOOKUP(B1501,[1]!Tabela1[[Cidades ]],[1]!Tabela1[Gerente],0,0,1)</f>
        <v>Demais coordenadores</v>
      </c>
    </row>
    <row r="1502" spans="1:8" x14ac:dyDescent="0.3">
      <c r="A1502" s="4" t="s">
        <v>210</v>
      </c>
      <c r="B1502" s="5" t="s">
        <v>22</v>
      </c>
      <c r="C1502" s="6">
        <v>45840</v>
      </c>
      <c r="D1502" s="7">
        <v>652640</v>
      </c>
      <c r="E1502" s="5" t="str">
        <f>_xlfn.XLOOKUP(D1502,[1]!Tabela24[Código consultor],[1]!Tabela24[Consultor Venda],0,0,1)</f>
        <v>COM - CAN - ANDRIELE DA SILVA RANGEL</v>
      </c>
      <c r="F1502" s="5" t="str">
        <f>_xlfn.XLOOKUP(D1502,[1]!Tabela24[Código consultor],[1]!Tabela24[Canal Consultor],0,0,1)</f>
        <v>Pap</v>
      </c>
      <c r="G1502" s="5" t="str">
        <f>_xlfn.XLOOKUP(B1502,[1]!Tabela1[[Cidades ]],[1]!Tabela1[Regional],0,0,1)</f>
        <v>Magno</v>
      </c>
      <c r="H1502" s="8" t="str">
        <f>_xlfn.XLOOKUP(B1502,[1]!Tabela1[[Cidades ]],[1]!Tabela1[Gerente],0,0,1)</f>
        <v>Demais coordenadores</v>
      </c>
    </row>
    <row r="1503" spans="1:8" x14ac:dyDescent="0.3">
      <c r="A1503" s="9" t="s">
        <v>136</v>
      </c>
      <c r="B1503" s="10" t="s">
        <v>26</v>
      </c>
      <c r="C1503" s="11">
        <v>45840</v>
      </c>
      <c r="D1503" s="12">
        <v>882357</v>
      </c>
      <c r="E1503" s="5" t="str">
        <f>_xlfn.XLOOKUP(D1503,[1]!Tabela24[Código consultor],[1]!Tabela24[Consultor Venda],0,0,1)</f>
        <v>COM - GTI - CESAR ALFREDO MENSCH</v>
      </c>
      <c r="F1503" s="5" t="str">
        <f>_xlfn.XLOOKUP(D1503,[1]!Tabela24[Código consultor],[1]!Tabela24[Canal Consultor],0,0,1)</f>
        <v>Pap</v>
      </c>
      <c r="G1503" s="10" t="str">
        <f>_xlfn.XLOOKUP(B1503,[1]!Tabela1[[Cidades ]],[1]!Tabela1[Regional],0,0,1)</f>
        <v>Magno</v>
      </c>
      <c r="H1503" s="13" t="str">
        <f>_xlfn.XLOOKUP(B1503,[1]!Tabela1[[Cidades ]],[1]!Tabela1[Gerente],0,0,1)</f>
        <v>Demais coordenadores</v>
      </c>
    </row>
    <row r="1504" spans="1:8" x14ac:dyDescent="0.3">
      <c r="A1504" s="4" t="s">
        <v>129</v>
      </c>
      <c r="B1504" s="5" t="s">
        <v>16</v>
      </c>
      <c r="C1504" s="6">
        <v>45840</v>
      </c>
      <c r="D1504" s="7">
        <v>867361</v>
      </c>
      <c r="E1504" s="5" t="str">
        <f>_xlfn.XLOOKUP(D1504,[1]!Tabela24[Código consultor],[1]!Tabela24[Consultor Venda],0,0,1)</f>
        <v>COM - CSL - HENRIQUE POLONIATO MULLER</v>
      </c>
      <c r="F1504" s="5" t="str">
        <f>_xlfn.XLOOKUP(D1504,[1]!Tabela24[Código consultor],[1]!Tabela24[Canal Consultor],0,0,1)</f>
        <v>Pap</v>
      </c>
      <c r="G1504" s="5" t="str">
        <f>_xlfn.XLOOKUP(B1504,[1]!Tabela1[[Cidades ]],[1]!Tabela1[Regional],0,0,1)</f>
        <v>Magno</v>
      </c>
      <c r="H1504" s="8" t="str">
        <f>_xlfn.XLOOKUP(B1504,[1]!Tabela1[[Cidades ]],[1]!Tabela1[Gerente],0,0,1)</f>
        <v>Demais coordenadores</v>
      </c>
    </row>
    <row r="1505" spans="1:8" x14ac:dyDescent="0.3">
      <c r="A1505" s="9" t="s">
        <v>137</v>
      </c>
      <c r="B1505" s="10" t="s">
        <v>16</v>
      </c>
      <c r="C1505" s="11">
        <v>45840</v>
      </c>
      <c r="D1505" s="12">
        <v>617463</v>
      </c>
      <c r="E1505" s="5" t="str">
        <f>_xlfn.XLOOKUP(D1505,[1]!Tabela24[Código consultor],[1]!Tabela24[Consultor Venda],0,0,1)</f>
        <v>DIG - CCO - ALEX AUGUSTO DA CRUZ RODRIGUES</v>
      </c>
      <c r="F1505" s="5" t="str">
        <f>_xlfn.XLOOKUP(D1505,[1]!Tabela24[Código consultor],[1]!Tabela24[Canal Consultor],0,0,1)</f>
        <v>DIGITAL</v>
      </c>
      <c r="G1505" s="10" t="str">
        <f>_xlfn.XLOOKUP(B1505,[1]!Tabela1[[Cidades ]],[1]!Tabela1[Regional],0,0,1)</f>
        <v>Magno</v>
      </c>
      <c r="H1505" s="13" t="str">
        <f>_xlfn.XLOOKUP(B1505,[1]!Tabela1[[Cidades ]],[1]!Tabela1[Gerente],0,0,1)</f>
        <v>Demais coordenadores</v>
      </c>
    </row>
    <row r="1506" spans="1:8" x14ac:dyDescent="0.3">
      <c r="A1506" s="4" t="s">
        <v>146</v>
      </c>
      <c r="B1506" s="5" t="s">
        <v>23</v>
      </c>
      <c r="C1506" s="6">
        <v>45840</v>
      </c>
      <c r="D1506" s="7">
        <v>876162</v>
      </c>
      <c r="E1506" s="5" t="str">
        <f>_xlfn.XLOOKUP(D1506,[1]!Tabela24[Código consultor],[1]!Tabela24[Consultor Venda],0,0,1)</f>
        <v>COM - CAN - PAULA VITORIA ELIAS VIEIRA</v>
      </c>
      <c r="F1506" s="5" t="str">
        <f>_xlfn.XLOOKUP(D1506,[1]!Tabela24[Código consultor],[1]!Tabela24[Canal Consultor],0,0,1)</f>
        <v>Pap</v>
      </c>
      <c r="G1506" s="5" t="str">
        <f>_xlfn.XLOOKUP(B1506,[1]!Tabela1[[Cidades ]],[1]!Tabela1[Regional],0,0,1)</f>
        <v>Magno</v>
      </c>
      <c r="H1506" s="8" t="str">
        <f>_xlfn.XLOOKUP(B1506,[1]!Tabela1[[Cidades ]],[1]!Tabela1[Gerente],0,0,1)</f>
        <v>Demais coordenadores</v>
      </c>
    </row>
    <row r="1507" spans="1:8" x14ac:dyDescent="0.3">
      <c r="A1507" s="9" t="s">
        <v>162</v>
      </c>
      <c r="B1507" s="10" t="s">
        <v>22</v>
      </c>
      <c r="C1507" s="11">
        <v>45840</v>
      </c>
      <c r="D1507" s="12">
        <v>716615</v>
      </c>
      <c r="E1507" s="5" t="str">
        <f>_xlfn.XLOOKUP(D1507,[1]!Tabela24[Código consultor],[1]!Tabela24[Consultor Venda],0,0,1)</f>
        <v>COM - SCR - MARCO ANTONIO NUNES DOS SANTOS</v>
      </c>
      <c r="F1507" s="5" t="str">
        <f>_xlfn.XLOOKUP(D1507,[1]!Tabela24[Código consultor],[1]!Tabela24[Canal Consultor],0,0,1)</f>
        <v>Pap</v>
      </c>
      <c r="G1507" s="10" t="str">
        <f>_xlfn.XLOOKUP(B1507,[1]!Tabela1[[Cidades ]],[1]!Tabela1[Regional],0,0,1)</f>
        <v>Magno</v>
      </c>
      <c r="H1507" s="13" t="str">
        <f>_xlfn.XLOOKUP(B1507,[1]!Tabela1[[Cidades ]],[1]!Tabela1[Gerente],0,0,1)</f>
        <v>Demais coordenadores</v>
      </c>
    </row>
    <row r="1508" spans="1:8" x14ac:dyDescent="0.3">
      <c r="A1508" s="4" t="s">
        <v>1616</v>
      </c>
      <c r="B1508" s="5" t="s">
        <v>31</v>
      </c>
      <c r="C1508" s="6">
        <v>45840</v>
      </c>
      <c r="D1508" s="7">
        <v>788656</v>
      </c>
      <c r="E1508" s="5" t="str">
        <f>_xlfn.XLOOKUP(D1508,[1]!Tabela24[Código consultor],[1]!Tabela24[Consultor Venda],0,0,1)</f>
        <v>PAR - STB - PAP - JOY TELECOM - GABRIELA ALVES DE GODOY</v>
      </c>
      <c r="F1508" s="5" t="str">
        <f>_xlfn.XLOOKUP(D1508,[1]!Tabela24[Código consultor],[1]!Tabela24[Canal Consultor],0,0,1)</f>
        <v>PAR_DIG</v>
      </c>
      <c r="G1508" s="5" t="str">
        <f>_xlfn.XLOOKUP(B1508,[1]!Tabela1[[Cidades ]],[1]!Tabela1[Regional],0,0,1)</f>
        <v>Maycon</v>
      </c>
      <c r="H1508" s="8" t="str">
        <f>_xlfn.XLOOKUP(B1508,[1]!Tabela1[[Cidades ]],[1]!Tabela1[Gerente],0,0,1)</f>
        <v>Demais coordenadores</v>
      </c>
    </row>
    <row r="1509" spans="1:8" x14ac:dyDescent="0.3">
      <c r="A1509" s="9" t="s">
        <v>1617</v>
      </c>
      <c r="B1509" s="10" t="s">
        <v>31</v>
      </c>
      <c r="C1509" s="11">
        <v>45840</v>
      </c>
      <c r="D1509" s="12">
        <v>683349</v>
      </c>
      <c r="E1509" s="5" t="str">
        <f>_xlfn.XLOOKUP(D1509,[1]!Tabela24[Código consultor],[1]!Tabela24[Consultor Venda],0,0,1)</f>
        <v>DIG - CCO - EVELLIN SALOA MAIA DA CONCEICAO</v>
      </c>
      <c r="F1509" s="5" t="str">
        <f>_xlfn.XLOOKUP(D1509,[1]!Tabela24[Código consultor],[1]!Tabela24[Canal Consultor],0,0,1)</f>
        <v>DIGITAL</v>
      </c>
      <c r="G1509" s="10" t="str">
        <f>_xlfn.XLOOKUP(B1509,[1]!Tabela1[[Cidades ]],[1]!Tabela1[Regional],0,0,1)</f>
        <v>Maycon</v>
      </c>
      <c r="H1509" s="13" t="str">
        <f>_xlfn.XLOOKUP(B1509,[1]!Tabela1[[Cidades ]],[1]!Tabela1[Gerente],0,0,1)</f>
        <v>Demais coordenadores</v>
      </c>
    </row>
    <row r="1510" spans="1:8" x14ac:dyDescent="0.3">
      <c r="A1510" s="4" t="s">
        <v>173</v>
      </c>
      <c r="B1510" s="5" t="s">
        <v>42</v>
      </c>
      <c r="C1510" s="6">
        <v>45840</v>
      </c>
      <c r="D1510" s="7">
        <v>617463</v>
      </c>
      <c r="E1510" s="5" t="str">
        <f>_xlfn.XLOOKUP(D1510,[1]!Tabela24[Código consultor],[1]!Tabela24[Consultor Venda],0,0,1)</f>
        <v>DIG - CCO - ALEX AUGUSTO DA CRUZ RODRIGUES</v>
      </c>
      <c r="F1510" s="5" t="str">
        <f>_xlfn.XLOOKUP(D1510,[1]!Tabela24[Código consultor],[1]!Tabela24[Canal Consultor],0,0,1)</f>
        <v>DIGITAL</v>
      </c>
      <c r="G1510" s="5" t="str">
        <f>_xlfn.XLOOKUP(B1510,[1]!Tabela1[[Cidades ]],[1]!Tabela1[Regional],0,0,1)</f>
        <v>Maycon</v>
      </c>
      <c r="H1510" s="8" t="str">
        <f>_xlfn.XLOOKUP(B1510,[1]!Tabela1[[Cidades ]],[1]!Tabela1[Gerente],0,0,1)</f>
        <v>Demais coordenadores</v>
      </c>
    </row>
    <row r="1511" spans="1:8" x14ac:dyDescent="0.3">
      <c r="A1511" s="9" t="s">
        <v>1618</v>
      </c>
      <c r="B1511" s="10" t="s">
        <v>39</v>
      </c>
      <c r="C1511" s="11">
        <v>45840</v>
      </c>
      <c r="D1511" s="12">
        <v>637113</v>
      </c>
      <c r="E1511" s="5" t="str">
        <f>_xlfn.XLOOKUP(D1511,[1]!Tabela24[Código consultor],[1]!Tabela24[Consultor Venda],0,0,1)</f>
        <v>COM - LGS - VANESSA LOPES MUNIZ</v>
      </c>
      <c r="F1511" s="5" t="str">
        <f>_xlfn.XLOOKUP(D1511,[1]!Tabela24[Código consultor],[1]!Tabela24[Canal Consultor],0,0,1)</f>
        <v>INTERNO</v>
      </c>
      <c r="G1511" s="10" t="str">
        <f>_xlfn.XLOOKUP(B1511,[1]!Tabela1[[Cidades ]],[1]!Tabela1[Regional],0,0,1)</f>
        <v>Marcio</v>
      </c>
      <c r="H1511" s="13" t="str">
        <f>_xlfn.XLOOKUP(B1511,[1]!Tabela1[[Cidades ]],[1]!Tabela1[Gerente],0,0,1)</f>
        <v>Demais coordenadores</v>
      </c>
    </row>
    <row r="1512" spans="1:8" x14ac:dyDescent="0.3">
      <c r="A1512" s="4" t="s">
        <v>193</v>
      </c>
      <c r="B1512" s="5" t="s">
        <v>24</v>
      </c>
      <c r="C1512" s="6">
        <v>45840</v>
      </c>
      <c r="D1512" s="7">
        <v>608355</v>
      </c>
      <c r="E1512" s="5" t="str">
        <f>_xlfn.XLOOKUP(D1512,[1]!Tabela24[Código consultor],[1]!Tabela24[Consultor Venda],0,0,1)</f>
        <v>COM - SMA - JANAINA SEBBEN DOS SANTOS</v>
      </c>
      <c r="F1512" s="5" t="str">
        <f>_xlfn.XLOOKUP(D1512,[1]!Tabela24[Código consultor],[1]!Tabela24[Canal Consultor],0,0,1)</f>
        <v>INTERNO</v>
      </c>
      <c r="G1512" s="5" t="str">
        <f>_xlfn.XLOOKUP(B1512,[1]!Tabela1[[Cidades ]],[1]!Tabela1[Regional],0,0,1)</f>
        <v>Magno</v>
      </c>
      <c r="H1512" s="8" t="str">
        <f>_xlfn.XLOOKUP(B1512,[1]!Tabela1[[Cidades ]],[1]!Tabela1[Gerente],0,0,1)</f>
        <v>Demais coordenadores</v>
      </c>
    </row>
    <row r="1513" spans="1:8" x14ac:dyDescent="0.3">
      <c r="A1513" s="9" t="s">
        <v>1619</v>
      </c>
      <c r="B1513" s="10" t="s">
        <v>11</v>
      </c>
      <c r="C1513" s="11">
        <v>45840</v>
      </c>
      <c r="D1513" s="12">
        <v>788656</v>
      </c>
      <c r="E1513" s="5" t="str">
        <f>_xlfn.XLOOKUP(D1513,[1]!Tabela24[Código consultor],[1]!Tabela24[Consultor Venda],0,0,1)</f>
        <v>PAR - STB - PAP - JOY TELECOM - GABRIELA ALVES DE GODOY</v>
      </c>
      <c r="F1513" s="5" t="str">
        <f>_xlfn.XLOOKUP(D1513,[1]!Tabela24[Código consultor],[1]!Tabela24[Canal Consultor],0,0,1)</f>
        <v>PAR_DIG</v>
      </c>
      <c r="G1513" s="10" t="str">
        <f>_xlfn.XLOOKUP(B1513,[1]!Tabela1[[Cidades ]],[1]!Tabela1[Regional],0,0,1)</f>
        <v>Magno</v>
      </c>
      <c r="H1513" s="13" t="str">
        <f>_xlfn.XLOOKUP(B1513,[1]!Tabela1[[Cidades ]],[1]!Tabela1[Gerente],0,0,1)</f>
        <v>Demais coordenadores</v>
      </c>
    </row>
    <row r="1514" spans="1:8" x14ac:dyDescent="0.3">
      <c r="A1514" s="4" t="s">
        <v>194</v>
      </c>
      <c r="B1514" s="5" t="s">
        <v>31</v>
      </c>
      <c r="C1514" s="6">
        <v>45840</v>
      </c>
      <c r="D1514" s="7">
        <v>683349</v>
      </c>
      <c r="E1514" s="5" t="str">
        <f>_xlfn.XLOOKUP(D1514,[1]!Tabela24[Código consultor],[1]!Tabela24[Consultor Venda],0,0,1)</f>
        <v>DIG - CCO - EVELLIN SALOA MAIA DA CONCEICAO</v>
      </c>
      <c r="F1514" s="5" t="str">
        <f>_xlfn.XLOOKUP(D1514,[1]!Tabela24[Código consultor],[1]!Tabela24[Canal Consultor],0,0,1)</f>
        <v>DIGITAL</v>
      </c>
      <c r="G1514" s="5" t="str">
        <f>_xlfn.XLOOKUP(B1514,[1]!Tabela1[[Cidades ]],[1]!Tabela1[Regional],0,0,1)</f>
        <v>Maycon</v>
      </c>
      <c r="H1514" s="8" t="str">
        <f>_xlfn.XLOOKUP(B1514,[1]!Tabela1[[Cidades ]],[1]!Tabela1[Gerente],0,0,1)</f>
        <v>Demais coordenadores</v>
      </c>
    </row>
    <row r="1515" spans="1:8" x14ac:dyDescent="0.3">
      <c r="A1515" s="9" t="s">
        <v>1620</v>
      </c>
      <c r="B1515" s="10" t="s">
        <v>19</v>
      </c>
      <c r="C1515" s="11">
        <v>45840</v>
      </c>
      <c r="D1515" s="12">
        <v>725067</v>
      </c>
      <c r="E1515" s="5" t="str">
        <f>_xlfn.XLOOKUP(D1515,[1]!Tabela24[Código consultor],[1]!Tabela24[Consultor Venda],0,0,1)</f>
        <v>COM - CHN - MICHELY SANTOS DOS SANTOS</v>
      </c>
      <c r="F1515" s="5" t="str">
        <f>_xlfn.XLOOKUP(D1515,[1]!Tabela24[Código consultor],[1]!Tabela24[Canal Consultor],0,0,1)</f>
        <v>Pap</v>
      </c>
      <c r="G1515" s="10" t="str">
        <f>_xlfn.XLOOKUP(B1515,[1]!Tabela1[[Cidades ]],[1]!Tabela1[Regional],0,0,1)</f>
        <v>Magno</v>
      </c>
      <c r="H1515" s="13" t="str">
        <f>_xlfn.XLOOKUP(B1515,[1]!Tabela1[[Cidades ]],[1]!Tabela1[Gerente],0,0,1)</f>
        <v>Demais coordenadores</v>
      </c>
    </row>
    <row r="1516" spans="1:8" x14ac:dyDescent="0.3">
      <c r="A1516" s="4" t="s">
        <v>1621</v>
      </c>
      <c r="B1516" s="5" t="s">
        <v>59</v>
      </c>
      <c r="C1516" s="6">
        <v>45840</v>
      </c>
      <c r="D1516" s="7">
        <v>788656</v>
      </c>
      <c r="E1516" s="5" t="str">
        <f>_xlfn.XLOOKUP(D1516,[1]!Tabela24[Código consultor],[1]!Tabela24[Consultor Venda],0,0,1)</f>
        <v>PAR - STB - PAP - JOY TELECOM - GABRIELA ALVES DE GODOY</v>
      </c>
      <c r="F1516" s="5" t="str">
        <f>_xlfn.XLOOKUP(D1516,[1]!Tabela24[Código consultor],[1]!Tabela24[Canal Consultor],0,0,1)</f>
        <v>PAR_DIG</v>
      </c>
      <c r="G1516" s="5" t="str">
        <f>_xlfn.XLOOKUP(B1516,[1]!Tabela1[[Cidades ]],[1]!Tabela1[Regional],0,0,1)</f>
        <v>Adilson</v>
      </c>
      <c r="H1516" s="8" t="str">
        <f>_xlfn.XLOOKUP(B1516,[1]!Tabela1[[Cidades ]],[1]!Tabela1[Gerente],0,0,1)</f>
        <v>Demais coordenadores</v>
      </c>
    </row>
    <row r="1517" spans="1:8" x14ac:dyDescent="0.3">
      <c r="A1517" s="9" t="s">
        <v>228</v>
      </c>
      <c r="B1517" s="10" t="s">
        <v>41</v>
      </c>
      <c r="C1517" s="11">
        <v>45840</v>
      </c>
      <c r="D1517" s="12">
        <v>600710</v>
      </c>
      <c r="E1517" s="5" t="str">
        <f>_xlfn.XLOOKUP(D1517,[1]!Tabela24[Código consultor],[1]!Tabela24[Consultor Venda],0,0,1)</f>
        <v>DIG - CCO - BRUNA BALBINOTTI</v>
      </c>
      <c r="F1517" s="5" t="str">
        <f>_xlfn.XLOOKUP(D1517,[1]!Tabela24[Código consultor],[1]!Tabela24[Canal Consultor],0,0,1)</f>
        <v>DIGITAL</v>
      </c>
      <c r="G1517" s="10" t="str">
        <f>_xlfn.XLOOKUP(B1517,[1]!Tabela1[[Cidades ]],[1]!Tabela1[Regional],0,0,1)</f>
        <v>Maycon</v>
      </c>
      <c r="H1517" s="13" t="str">
        <f>_xlfn.XLOOKUP(B1517,[1]!Tabela1[[Cidades ]],[1]!Tabela1[Gerente],0,0,1)</f>
        <v>Demais coordenadores</v>
      </c>
    </row>
    <row r="1518" spans="1:8" x14ac:dyDescent="0.3">
      <c r="A1518" s="4" t="s">
        <v>227</v>
      </c>
      <c r="B1518" s="5" t="s">
        <v>10</v>
      </c>
      <c r="C1518" s="6">
        <v>45840</v>
      </c>
      <c r="D1518" s="7">
        <v>233138</v>
      </c>
      <c r="E1518" s="5" t="str">
        <f>_xlfn.XLOOKUP(D1518,[1]!Tabela24[Código consultor],[1]!Tabela24[Consultor Venda],0,0,1)</f>
        <v>PAR - INTE - GRP - MOBILE HD - ALINE KARNOSKI</v>
      </c>
      <c r="F1518" s="5" t="str">
        <f>_xlfn.XLOOKUP(D1518,[1]!Tabela24[Código consultor],[1]!Tabela24[Canal Consultor],0,0,1)</f>
        <v>PAR</v>
      </c>
      <c r="G1518" s="5" t="str">
        <f>_xlfn.XLOOKUP(B1518,[1]!Tabela1[[Cidades ]],[1]!Tabela1[Regional],0,0,1)</f>
        <v>Jean</v>
      </c>
      <c r="H1518" s="8" t="str">
        <f>_xlfn.XLOOKUP(B1518,[1]!Tabela1[[Cidades ]],[1]!Tabela1[Gerente],0,0,1)</f>
        <v>Demais coordenadores</v>
      </c>
    </row>
    <row r="1519" spans="1:8" x14ac:dyDescent="0.3">
      <c r="A1519" s="9" t="s">
        <v>1622</v>
      </c>
      <c r="B1519" s="10" t="s">
        <v>19</v>
      </c>
      <c r="C1519" s="11">
        <v>45840</v>
      </c>
      <c r="D1519" s="12">
        <v>262147</v>
      </c>
      <c r="E1519" s="5" t="str">
        <f>_xlfn.XLOOKUP(D1519,[1]!Tabela24[Código consultor],[1]!Tabela24[Consultor Venda],0,0,1)</f>
        <v>COM - GTI - ALESANDRA PETRY BRAZEIRO</v>
      </c>
      <c r="F1519" s="5" t="str">
        <f>_xlfn.XLOOKUP(D1519,[1]!Tabela24[Código consultor],[1]!Tabela24[Canal Consultor],0,0,1)</f>
        <v>Pap</v>
      </c>
      <c r="G1519" s="10" t="str">
        <f>_xlfn.XLOOKUP(B1519,[1]!Tabela1[[Cidades ]],[1]!Tabela1[Regional],0,0,1)</f>
        <v>Magno</v>
      </c>
      <c r="H1519" s="13" t="str">
        <f>_xlfn.XLOOKUP(B1519,[1]!Tabela1[[Cidades ]],[1]!Tabela1[Gerente],0,0,1)</f>
        <v>Demais coordenadores</v>
      </c>
    </row>
    <row r="1520" spans="1:8" x14ac:dyDescent="0.3">
      <c r="A1520" s="4" t="s">
        <v>253</v>
      </c>
      <c r="B1520" s="5" t="s">
        <v>22</v>
      </c>
      <c r="C1520" s="6">
        <v>45840</v>
      </c>
      <c r="D1520" s="7">
        <v>197832</v>
      </c>
      <c r="E1520" s="5" t="str">
        <f>_xlfn.XLOOKUP(D1520,[1]!Tabela24[Código consultor],[1]!Tabela24[Consultor Venda],0,0,1)</f>
        <v>DIG - CCO - RAIANE BERGAMIN</v>
      </c>
      <c r="F1520" s="5" t="str">
        <f>_xlfn.XLOOKUP(D1520,[1]!Tabela24[Código consultor],[1]!Tabela24[Canal Consultor],0,0,1)</f>
        <v>DIGITAL</v>
      </c>
      <c r="G1520" s="5" t="str">
        <f>_xlfn.XLOOKUP(B1520,[1]!Tabela1[[Cidades ]],[1]!Tabela1[Regional],0,0,1)</f>
        <v>Magno</v>
      </c>
      <c r="H1520" s="8" t="str">
        <f>_xlfn.XLOOKUP(B1520,[1]!Tabela1[[Cidades ]],[1]!Tabela1[Gerente],0,0,1)</f>
        <v>Demais coordenadores</v>
      </c>
    </row>
    <row r="1521" spans="1:8" x14ac:dyDescent="0.3">
      <c r="A1521" s="9" t="s">
        <v>260</v>
      </c>
      <c r="B1521" s="10" t="s">
        <v>46</v>
      </c>
      <c r="C1521" s="11">
        <v>45840</v>
      </c>
      <c r="D1521" s="12">
        <v>788656</v>
      </c>
      <c r="E1521" s="5" t="str">
        <f>_xlfn.XLOOKUP(D1521,[1]!Tabela24[Código consultor],[1]!Tabela24[Consultor Venda],0,0,1)</f>
        <v>PAR - STB - PAP - JOY TELECOM - GABRIELA ALVES DE GODOY</v>
      </c>
      <c r="F1521" s="5" t="str">
        <f>_xlfn.XLOOKUP(D1521,[1]!Tabela24[Código consultor],[1]!Tabela24[Canal Consultor],0,0,1)</f>
        <v>PAR_DIG</v>
      </c>
      <c r="G1521" s="10" t="str">
        <f>_xlfn.XLOOKUP(B1521,[1]!Tabela1[[Cidades ]],[1]!Tabela1[Regional],0,0,1)</f>
        <v>Magno</v>
      </c>
      <c r="H1521" s="13" t="str">
        <f>_xlfn.XLOOKUP(B1521,[1]!Tabela1[[Cidades ]],[1]!Tabela1[Gerente],0,0,1)</f>
        <v>Demais coordenadores</v>
      </c>
    </row>
    <row r="1522" spans="1:8" x14ac:dyDescent="0.3">
      <c r="A1522" s="4" t="s">
        <v>268</v>
      </c>
      <c r="B1522" s="5" t="s">
        <v>76</v>
      </c>
      <c r="C1522" s="6">
        <v>45840</v>
      </c>
      <c r="D1522" s="7">
        <v>878787</v>
      </c>
      <c r="E1522" s="5" t="str">
        <f>_xlfn.XLOOKUP(D1522,[1]!Tabela24[Código consultor],[1]!Tabela24[Consultor Venda],0,0,1)</f>
        <v>COM - CIO - STEFANY WOLFART DOS SANTOS</v>
      </c>
      <c r="F1522" s="5" t="str">
        <f>_xlfn.XLOOKUP(D1522,[1]!Tabela24[Código consultor],[1]!Tabela24[Canal Consultor],0,0,1)</f>
        <v>Pap</v>
      </c>
      <c r="G1522" s="5" t="str">
        <f>_xlfn.XLOOKUP(B1522,[1]!Tabela1[[Cidades ]],[1]!Tabela1[Regional],0,0,1)</f>
        <v>Alisson</v>
      </c>
      <c r="H1522" s="8" t="str">
        <f>_xlfn.XLOOKUP(B1522,[1]!Tabela1[[Cidades ]],[1]!Tabela1[Gerente],0,0,1)</f>
        <v>Helena</v>
      </c>
    </row>
    <row r="1523" spans="1:8" x14ac:dyDescent="0.3">
      <c r="A1523" s="9" t="s">
        <v>267</v>
      </c>
      <c r="B1523" s="10" t="s">
        <v>23</v>
      </c>
      <c r="C1523" s="11">
        <v>45840</v>
      </c>
      <c r="D1523" s="12">
        <v>780838</v>
      </c>
      <c r="E1523" s="5" t="str">
        <f>_xlfn.XLOOKUP(D1523,[1]!Tabela24[Código consultor],[1]!Tabela24[Consultor Venda],0,0,1)</f>
        <v>PAR - PAP - CSL - ALLNET - JEAN CARLO LOPES</v>
      </c>
      <c r="F1523" s="5" t="str">
        <f>_xlfn.XLOOKUP(D1523,[1]!Tabela24[Código consultor],[1]!Tabela24[Canal Consultor],0,0,1)</f>
        <v>PAR</v>
      </c>
      <c r="G1523" s="10" t="str">
        <f>_xlfn.XLOOKUP(B1523,[1]!Tabela1[[Cidades ]],[1]!Tabela1[Regional],0,0,1)</f>
        <v>Magno</v>
      </c>
      <c r="H1523" s="13" t="str">
        <f>_xlfn.XLOOKUP(B1523,[1]!Tabela1[[Cidades ]],[1]!Tabela1[Gerente],0,0,1)</f>
        <v>Demais coordenadores</v>
      </c>
    </row>
    <row r="1524" spans="1:8" x14ac:dyDescent="0.3">
      <c r="A1524" s="4" t="s">
        <v>1623</v>
      </c>
      <c r="B1524" s="5" t="s">
        <v>31</v>
      </c>
      <c r="C1524" s="6">
        <v>45840</v>
      </c>
      <c r="D1524" s="7">
        <v>788656</v>
      </c>
      <c r="E1524" s="5" t="str">
        <f>_xlfn.XLOOKUP(D1524,[1]!Tabela24[Código consultor],[1]!Tabela24[Consultor Venda],0,0,1)</f>
        <v>PAR - STB - PAP - JOY TELECOM - GABRIELA ALVES DE GODOY</v>
      </c>
      <c r="F1524" s="5" t="str">
        <f>_xlfn.XLOOKUP(D1524,[1]!Tabela24[Código consultor],[1]!Tabela24[Canal Consultor],0,0,1)</f>
        <v>PAR_DIG</v>
      </c>
      <c r="G1524" s="5" t="str">
        <f>_xlfn.XLOOKUP(B1524,[1]!Tabela1[[Cidades ]],[1]!Tabela1[Regional],0,0,1)</f>
        <v>Maycon</v>
      </c>
      <c r="H1524" s="8" t="str">
        <f>_xlfn.XLOOKUP(B1524,[1]!Tabela1[[Cidades ]],[1]!Tabela1[Gerente],0,0,1)</f>
        <v>Demais coordenadores</v>
      </c>
    </row>
    <row r="1525" spans="1:8" x14ac:dyDescent="0.3">
      <c r="A1525" s="9" t="s">
        <v>272</v>
      </c>
      <c r="B1525" s="10" t="s">
        <v>22</v>
      </c>
      <c r="C1525" s="11">
        <v>45840</v>
      </c>
      <c r="D1525" s="12">
        <v>781646</v>
      </c>
      <c r="E1525" s="5" t="str">
        <f>_xlfn.XLOOKUP(D1525,[1]!Tabela24[Código consultor],[1]!Tabela24[Consultor Venda],0,0,1)</f>
        <v>COM - CHN - EDUARDA BECKER RANGEL</v>
      </c>
      <c r="F1525" s="5" t="str">
        <f>_xlfn.XLOOKUP(D1525,[1]!Tabela24[Código consultor],[1]!Tabela24[Canal Consultor],0,0,1)</f>
        <v>Pap</v>
      </c>
      <c r="G1525" s="10" t="str">
        <f>_xlfn.XLOOKUP(B1525,[1]!Tabela1[[Cidades ]],[1]!Tabela1[Regional],0,0,1)</f>
        <v>Magno</v>
      </c>
      <c r="H1525" s="13" t="str">
        <f>_xlfn.XLOOKUP(B1525,[1]!Tabela1[[Cidades ]],[1]!Tabela1[Gerente],0,0,1)</f>
        <v>Demais coordenadores</v>
      </c>
    </row>
    <row r="1526" spans="1:8" x14ac:dyDescent="0.3">
      <c r="A1526" s="4" t="s">
        <v>284</v>
      </c>
      <c r="B1526" s="5" t="s">
        <v>76</v>
      </c>
      <c r="C1526" s="6">
        <v>45840</v>
      </c>
      <c r="D1526" s="7">
        <v>683349</v>
      </c>
      <c r="E1526" s="5" t="str">
        <f>_xlfn.XLOOKUP(D1526,[1]!Tabela24[Código consultor],[1]!Tabela24[Consultor Venda],0,0,1)</f>
        <v>DIG - CCO - EVELLIN SALOA MAIA DA CONCEICAO</v>
      </c>
      <c r="F1526" s="5" t="str">
        <f>_xlfn.XLOOKUP(D1526,[1]!Tabela24[Código consultor],[1]!Tabela24[Canal Consultor],0,0,1)</f>
        <v>DIGITAL</v>
      </c>
      <c r="G1526" s="5" t="str">
        <f>_xlfn.XLOOKUP(B1526,[1]!Tabela1[[Cidades ]],[1]!Tabela1[Regional],0,0,1)</f>
        <v>Alisson</v>
      </c>
      <c r="H1526" s="8" t="str">
        <f>_xlfn.XLOOKUP(B1526,[1]!Tabela1[[Cidades ]],[1]!Tabela1[Gerente],0,0,1)</f>
        <v>Helena</v>
      </c>
    </row>
    <row r="1527" spans="1:8" x14ac:dyDescent="0.3">
      <c r="A1527" s="9" t="s">
        <v>1624</v>
      </c>
      <c r="B1527" s="10" t="s">
        <v>11</v>
      </c>
      <c r="C1527" s="11">
        <v>45840</v>
      </c>
      <c r="D1527" s="12">
        <v>861705</v>
      </c>
      <c r="E1527" s="5" t="str">
        <f>_xlfn.XLOOKUP(D1527,[1]!Tabela24[Código consultor],[1]!Tabela24[Consultor Venda],0,0,1)</f>
        <v>PAR - COM - PAP - TQR - ERIKA DE OLIVEIRA GALLE</v>
      </c>
      <c r="F1527" s="5" t="str">
        <f>_xlfn.XLOOKUP(D1527,[1]!Tabela24[Código consultor],[1]!Tabela24[Canal Consultor],0,0,1)</f>
        <v>PAR</v>
      </c>
      <c r="G1527" s="10" t="str">
        <f>_xlfn.XLOOKUP(B1527,[1]!Tabela1[[Cidades ]],[1]!Tabela1[Regional],0,0,1)</f>
        <v>Magno</v>
      </c>
      <c r="H1527" s="13" t="str">
        <f>_xlfn.XLOOKUP(B1527,[1]!Tabela1[[Cidades ]],[1]!Tabela1[Gerente],0,0,1)</f>
        <v>Demais coordenadores</v>
      </c>
    </row>
    <row r="1528" spans="1:8" x14ac:dyDescent="0.3">
      <c r="A1528" s="4" t="s">
        <v>1625</v>
      </c>
      <c r="B1528" s="5" t="s">
        <v>75</v>
      </c>
      <c r="C1528" s="6">
        <v>45840</v>
      </c>
      <c r="D1528" s="7">
        <v>878249</v>
      </c>
      <c r="E1528" s="5" t="str">
        <f>_xlfn.XLOOKUP(D1528,[1]!Tabela24[Código consultor],[1]!Tabela24[Consultor Venda],0,0,1)</f>
        <v>COM - LJO - ELTON RODRIGO DA SILVA GONCALVES</v>
      </c>
      <c r="F1528" s="5" t="str">
        <f>_xlfn.XLOOKUP(D1528,[1]!Tabela24[Código consultor],[1]!Tabela24[Canal Consultor],0,0,1)</f>
        <v>Pap</v>
      </c>
      <c r="G1528" s="5" t="str">
        <f>_xlfn.XLOOKUP(B1528,[1]!Tabela1[[Cidades ]],[1]!Tabela1[Regional],0,0,1)</f>
        <v>Magno</v>
      </c>
      <c r="H1528" s="8" t="str">
        <f>_xlfn.XLOOKUP(B1528,[1]!Tabela1[[Cidades ]],[1]!Tabela1[Gerente],0,0,1)</f>
        <v>Demais coordenadores</v>
      </c>
    </row>
    <row r="1529" spans="1:8" x14ac:dyDescent="0.3">
      <c r="A1529" s="9" t="s">
        <v>1626</v>
      </c>
      <c r="B1529" s="10" t="s">
        <v>65</v>
      </c>
      <c r="C1529" s="11">
        <v>45840</v>
      </c>
      <c r="D1529" s="12">
        <v>683063</v>
      </c>
      <c r="E1529" s="5" t="str">
        <f>_xlfn.XLOOKUP(D1529,[1]!Tabela24[Código consultor],[1]!Tabela24[Consultor Venda],0,0,1)</f>
        <v>COM - CUA - BRUNO MANOEL DO NASCIMENTO</v>
      </c>
      <c r="F1529" s="5" t="str">
        <f>_xlfn.XLOOKUP(D1529,[1]!Tabela24[Código consultor],[1]!Tabela24[Canal Consultor],0,0,1)</f>
        <v>Pap</v>
      </c>
      <c r="G1529" s="10" t="str">
        <f>_xlfn.XLOOKUP(B1529,[1]!Tabela1[[Cidades ]],[1]!Tabela1[Regional],0,0,1)</f>
        <v>Marcio</v>
      </c>
      <c r="H1529" s="13" t="str">
        <f>_xlfn.XLOOKUP(B1529,[1]!Tabela1[[Cidades ]],[1]!Tabela1[Gerente],0,0,1)</f>
        <v>Demais coordenadores</v>
      </c>
    </row>
    <row r="1530" spans="1:8" x14ac:dyDescent="0.3">
      <c r="A1530" s="4" t="s">
        <v>1627</v>
      </c>
      <c r="B1530" s="5" t="s">
        <v>31</v>
      </c>
      <c r="C1530" s="6">
        <v>45840</v>
      </c>
      <c r="D1530" s="7">
        <v>738880</v>
      </c>
      <c r="E1530" s="5" t="str">
        <f>_xlfn.XLOOKUP(D1530,[1]!Tabela24[Código consultor],[1]!Tabela24[Consultor Venda],0,0,1)</f>
        <v>PAR - PAP - MUNDIALE - ANA LUIZA COUTO MATIAS</v>
      </c>
      <c r="F1530" s="5" t="str">
        <f>_xlfn.XLOOKUP(D1530,[1]!Tabela24[Código consultor],[1]!Tabela24[Canal Consultor],0,0,1)</f>
        <v>PAR_DIG</v>
      </c>
      <c r="G1530" s="5" t="str">
        <f>_xlfn.XLOOKUP(B1530,[1]!Tabela1[[Cidades ]],[1]!Tabela1[Regional],0,0,1)</f>
        <v>Maycon</v>
      </c>
      <c r="H1530" s="8" t="str">
        <f>_xlfn.XLOOKUP(B1530,[1]!Tabela1[[Cidades ]],[1]!Tabela1[Gerente],0,0,1)</f>
        <v>Demais coordenadores</v>
      </c>
    </row>
    <row r="1531" spans="1:8" x14ac:dyDescent="0.3">
      <c r="A1531" s="9" t="s">
        <v>1628</v>
      </c>
      <c r="B1531" s="10" t="s">
        <v>38</v>
      </c>
      <c r="C1531" s="11">
        <v>45840</v>
      </c>
      <c r="D1531" s="12">
        <v>619759</v>
      </c>
      <c r="E1531" s="5" t="str">
        <f>_xlfn.XLOOKUP(D1531,[1]!Tabela24[Código consultor],[1]!Tabela24[Consultor Venda],0,0,1)</f>
        <v>COM - TEB - JESSICA CRISTINA FERREIRA</v>
      </c>
      <c r="F1531" s="5" t="str">
        <f>_xlfn.XLOOKUP(D1531,[1]!Tabela24[Código consultor],[1]!Tabela24[Canal Consultor],0,0,1)</f>
        <v>INTERNO</v>
      </c>
      <c r="G1531" s="10" t="str">
        <f>_xlfn.XLOOKUP(B1531,[1]!Tabela1[[Cidades ]],[1]!Tabela1[Regional],0,0,1)</f>
        <v>Jean</v>
      </c>
      <c r="H1531" s="13" t="str">
        <f>_xlfn.XLOOKUP(B1531,[1]!Tabela1[[Cidades ]],[1]!Tabela1[Gerente],0,0,1)</f>
        <v>Demais coordenadores</v>
      </c>
    </row>
    <row r="1532" spans="1:8" x14ac:dyDescent="0.3">
      <c r="A1532" s="4" t="s">
        <v>1028</v>
      </c>
      <c r="B1532" s="5" t="s">
        <v>19</v>
      </c>
      <c r="C1532" s="6">
        <v>45840</v>
      </c>
      <c r="D1532" s="7">
        <v>262147</v>
      </c>
      <c r="E1532" s="5" t="str">
        <f>_xlfn.XLOOKUP(D1532,[1]!Tabela24[Código consultor],[1]!Tabela24[Consultor Venda],0,0,1)</f>
        <v>COM - GTI - ALESANDRA PETRY BRAZEIRO</v>
      </c>
      <c r="F1532" s="5" t="str">
        <f>_xlfn.XLOOKUP(D1532,[1]!Tabela24[Código consultor],[1]!Tabela24[Canal Consultor],0,0,1)</f>
        <v>Pap</v>
      </c>
      <c r="G1532" s="5" t="str">
        <f>_xlfn.XLOOKUP(B1532,[1]!Tabela1[[Cidades ]],[1]!Tabela1[Regional],0,0,1)</f>
        <v>Magno</v>
      </c>
      <c r="H1532" s="8" t="str">
        <f>_xlfn.XLOOKUP(B1532,[1]!Tabela1[[Cidades ]],[1]!Tabela1[Gerente],0,0,1)</f>
        <v>Demais coordenadores</v>
      </c>
    </row>
    <row r="1533" spans="1:8" x14ac:dyDescent="0.3">
      <c r="A1533" s="9" t="s">
        <v>1629</v>
      </c>
      <c r="B1533" s="10" t="s">
        <v>87</v>
      </c>
      <c r="C1533" s="11">
        <v>45840</v>
      </c>
      <c r="D1533" s="12">
        <v>738880</v>
      </c>
      <c r="E1533" s="5" t="str">
        <f>_xlfn.XLOOKUP(D1533,[1]!Tabela24[Código consultor],[1]!Tabela24[Consultor Venda],0,0,1)</f>
        <v>PAR - PAP - MUNDIALE - ANA LUIZA COUTO MATIAS</v>
      </c>
      <c r="F1533" s="5" t="str">
        <f>_xlfn.XLOOKUP(D1533,[1]!Tabela24[Código consultor],[1]!Tabela24[Canal Consultor],0,0,1)</f>
        <v>PAR_DIG</v>
      </c>
      <c r="G1533" s="10" t="str">
        <f>_xlfn.XLOOKUP(B1533,[1]!Tabela1[[Cidades ]],[1]!Tabela1[Regional],0,0,1)</f>
        <v>Maycon</v>
      </c>
      <c r="H1533" s="13" t="str">
        <f>_xlfn.XLOOKUP(B1533,[1]!Tabela1[[Cidades ]],[1]!Tabela1[Gerente],0,0,1)</f>
        <v>Demais coordenadores</v>
      </c>
    </row>
    <row r="1534" spans="1:8" x14ac:dyDescent="0.3">
      <c r="A1534" s="4" t="s">
        <v>1630</v>
      </c>
      <c r="B1534" s="5" t="s">
        <v>39</v>
      </c>
      <c r="C1534" s="6">
        <v>45840</v>
      </c>
      <c r="D1534" s="7">
        <v>788656</v>
      </c>
      <c r="E1534" s="5" t="str">
        <f>_xlfn.XLOOKUP(D1534,[1]!Tabela24[Código consultor],[1]!Tabela24[Consultor Venda],0,0,1)</f>
        <v>PAR - STB - PAP - JOY TELECOM - GABRIELA ALVES DE GODOY</v>
      </c>
      <c r="F1534" s="5" t="str">
        <f>_xlfn.XLOOKUP(D1534,[1]!Tabela24[Código consultor],[1]!Tabela24[Canal Consultor],0,0,1)</f>
        <v>PAR_DIG</v>
      </c>
      <c r="G1534" s="5" t="str">
        <f>_xlfn.XLOOKUP(B1534,[1]!Tabela1[[Cidades ]],[1]!Tabela1[Regional],0,0,1)</f>
        <v>Marcio</v>
      </c>
      <c r="H1534" s="8" t="str">
        <f>_xlfn.XLOOKUP(B1534,[1]!Tabela1[[Cidades ]],[1]!Tabela1[Gerente],0,0,1)</f>
        <v>Demais coordenadores</v>
      </c>
    </row>
    <row r="1535" spans="1:8" x14ac:dyDescent="0.3">
      <c r="A1535" s="9" t="s">
        <v>1631</v>
      </c>
      <c r="B1535" s="10" t="s">
        <v>10</v>
      </c>
      <c r="C1535" s="11">
        <v>45840</v>
      </c>
      <c r="D1535" s="12">
        <v>525458</v>
      </c>
      <c r="E1535" s="5" t="str">
        <f>_xlfn.XLOOKUP(D1535,[1]!Tabela24[Código consultor],[1]!Tabela24[Consultor Venda],0,0,1)</f>
        <v>PAR - ADM - GRP - FIGUEREDO MOBILE  - JOSELIO O. P. JUNIOR</v>
      </c>
      <c r="F1535" s="5" t="str">
        <f>_xlfn.XLOOKUP(D1535,[1]!Tabela24[Código consultor],[1]!Tabela24[Canal Consultor],0,0,1)</f>
        <v>PAR</v>
      </c>
      <c r="G1535" s="10" t="str">
        <f>_xlfn.XLOOKUP(B1535,[1]!Tabela1[[Cidades ]],[1]!Tabela1[Regional],0,0,1)</f>
        <v>Jean</v>
      </c>
      <c r="H1535" s="13" t="str">
        <f>_xlfn.XLOOKUP(B1535,[1]!Tabela1[[Cidades ]],[1]!Tabela1[Gerente],0,0,1)</f>
        <v>Demais coordenadores</v>
      </c>
    </row>
    <row r="1536" spans="1:8" x14ac:dyDescent="0.3">
      <c r="A1536" s="4" t="s">
        <v>1632</v>
      </c>
      <c r="B1536" s="5" t="s">
        <v>31</v>
      </c>
      <c r="C1536" s="6">
        <v>45840</v>
      </c>
      <c r="D1536" s="7">
        <v>864414</v>
      </c>
      <c r="E1536" s="5" t="str">
        <f>_xlfn.XLOOKUP(D1536,[1]!Tabela24[Código consultor],[1]!Tabela24[Consultor Venda],0,0,1)</f>
        <v>COM - CCO - NICOLE VITORIA COMELLI</v>
      </c>
      <c r="F1536" s="5" t="str">
        <f>_xlfn.XLOOKUP(D1536,[1]!Tabela24[Código consultor],[1]!Tabela24[Canal Consultor],0,0,1)</f>
        <v>INTERNO</v>
      </c>
      <c r="G1536" s="5" t="str">
        <f>_xlfn.XLOOKUP(B1536,[1]!Tabela1[[Cidades ]],[1]!Tabela1[Regional],0,0,1)</f>
        <v>Maycon</v>
      </c>
      <c r="H1536" s="8" t="str">
        <f>_xlfn.XLOOKUP(B1536,[1]!Tabela1[[Cidades ]],[1]!Tabela1[Gerente],0,0,1)</f>
        <v>Demais coordenadores</v>
      </c>
    </row>
    <row r="1537" spans="1:8" x14ac:dyDescent="0.3">
      <c r="A1537" s="9" t="s">
        <v>1191</v>
      </c>
      <c r="B1537" s="10" t="s">
        <v>12</v>
      </c>
      <c r="C1537" s="11">
        <v>45840</v>
      </c>
      <c r="D1537" s="12">
        <v>876395</v>
      </c>
      <c r="E1537" s="5" t="str">
        <f>_xlfn.XLOOKUP(D1537,[1]!Tabela24[Código consultor],[1]!Tabela24[Consultor Venda],0,0,1)</f>
        <v>COM - PGO - MARIA EDUARDA OLIVEIRA BRITO</v>
      </c>
      <c r="F1537" s="5" t="str">
        <f>_xlfn.XLOOKUP(D1537,[1]!Tabela24[Código consultor],[1]!Tabela24[Canal Consultor],0,0,1)</f>
        <v>Pap</v>
      </c>
      <c r="G1537" s="10" t="str">
        <f>_xlfn.XLOOKUP(B1537,[1]!Tabela1[[Cidades ]],[1]!Tabela1[Regional],0,0,1)</f>
        <v>Jean</v>
      </c>
      <c r="H1537" s="13" t="str">
        <f>_xlfn.XLOOKUP(B1537,[1]!Tabela1[[Cidades ]],[1]!Tabela1[Gerente],0,0,1)</f>
        <v>Demais coordenadores</v>
      </c>
    </row>
    <row r="1538" spans="1:8" x14ac:dyDescent="0.3">
      <c r="A1538" s="4" t="s">
        <v>1633</v>
      </c>
      <c r="B1538" s="5" t="s">
        <v>10</v>
      </c>
      <c r="C1538" s="6">
        <v>45840</v>
      </c>
      <c r="D1538" s="7">
        <v>788656</v>
      </c>
      <c r="E1538" s="5" t="str">
        <f>_xlfn.XLOOKUP(D1538,[1]!Tabela24[Código consultor],[1]!Tabela24[Consultor Venda],0,0,1)</f>
        <v>PAR - STB - PAP - JOY TELECOM - GABRIELA ALVES DE GODOY</v>
      </c>
      <c r="F1538" s="5" t="str">
        <f>_xlfn.XLOOKUP(D1538,[1]!Tabela24[Código consultor],[1]!Tabela24[Canal Consultor],0,0,1)</f>
        <v>PAR_DIG</v>
      </c>
      <c r="G1538" s="5" t="str">
        <f>_xlfn.XLOOKUP(B1538,[1]!Tabela1[[Cidades ]],[1]!Tabela1[Regional],0,0,1)</f>
        <v>Jean</v>
      </c>
      <c r="H1538" s="8" t="str">
        <f>_xlfn.XLOOKUP(B1538,[1]!Tabela1[[Cidades ]],[1]!Tabela1[Gerente],0,0,1)</f>
        <v>Demais coordenadores</v>
      </c>
    </row>
    <row r="1539" spans="1:8" x14ac:dyDescent="0.3">
      <c r="A1539" s="9" t="s">
        <v>1634</v>
      </c>
      <c r="B1539" s="10" t="s">
        <v>25</v>
      </c>
      <c r="C1539" s="11">
        <v>45840</v>
      </c>
      <c r="D1539" s="12">
        <v>698940</v>
      </c>
      <c r="E1539" s="5" t="str">
        <f>_xlfn.XLOOKUP(D1539,[1]!Tabela24[Código consultor],[1]!Tabela24[Consultor Venda],0,0,1)</f>
        <v>COM - ADZ - ANDREIA MACHADO DE OLIVEIRA</v>
      </c>
      <c r="F1539" s="5" t="str">
        <f>_xlfn.XLOOKUP(D1539,[1]!Tabela24[Código consultor],[1]!Tabela24[Canal Consultor],0,0,1)</f>
        <v>INTERNO</v>
      </c>
      <c r="G1539" s="10" t="str">
        <f>_xlfn.XLOOKUP(B1539,[1]!Tabela1[[Cidades ]],[1]!Tabela1[Regional],0,0,1)</f>
        <v>Maycon</v>
      </c>
      <c r="H1539" s="13" t="str">
        <f>_xlfn.XLOOKUP(B1539,[1]!Tabela1[[Cidades ]],[1]!Tabela1[Gerente],0,0,1)</f>
        <v>Demais coordenadores</v>
      </c>
    </row>
    <row r="1540" spans="1:8" x14ac:dyDescent="0.3">
      <c r="A1540" s="4" t="s">
        <v>1635</v>
      </c>
      <c r="B1540" s="5" t="s">
        <v>11</v>
      </c>
      <c r="C1540" s="6">
        <v>45840</v>
      </c>
      <c r="D1540" s="7">
        <v>861705</v>
      </c>
      <c r="E1540" s="5" t="str">
        <f>_xlfn.XLOOKUP(D1540,[1]!Tabela24[Código consultor],[1]!Tabela24[Consultor Venda],0,0,1)</f>
        <v>PAR - COM - PAP - TQR - ERIKA DE OLIVEIRA GALLE</v>
      </c>
      <c r="F1540" s="5" t="str">
        <f>_xlfn.XLOOKUP(D1540,[1]!Tabela24[Código consultor],[1]!Tabela24[Canal Consultor],0,0,1)</f>
        <v>PAR</v>
      </c>
      <c r="G1540" s="5" t="str">
        <f>_xlfn.XLOOKUP(B1540,[1]!Tabela1[[Cidades ]],[1]!Tabela1[Regional],0,0,1)</f>
        <v>Magno</v>
      </c>
      <c r="H1540" s="8" t="str">
        <f>_xlfn.XLOOKUP(B1540,[1]!Tabela1[[Cidades ]],[1]!Tabela1[Gerente],0,0,1)</f>
        <v>Demais coordenadores</v>
      </c>
    </row>
    <row r="1541" spans="1:8" x14ac:dyDescent="0.3">
      <c r="A1541" s="9" t="s">
        <v>1636</v>
      </c>
      <c r="B1541" s="10" t="s">
        <v>29</v>
      </c>
      <c r="C1541" s="11">
        <v>45840</v>
      </c>
      <c r="D1541" s="12">
        <v>873105</v>
      </c>
      <c r="E1541" s="5" t="str">
        <f>_xlfn.XLOOKUP(D1541,[1]!Tabela24[Código consultor],[1]!Tabela24[Consultor Venda],0,0,1)</f>
        <v>DIG - CCO - INGREDE TAMIRES ALMEIDA ALVES</v>
      </c>
      <c r="F1541" s="5" t="str">
        <f>_xlfn.XLOOKUP(D1541,[1]!Tabela24[Código consultor],[1]!Tabela24[Canal Consultor],0,0,1)</f>
        <v>DIGITAL</v>
      </c>
      <c r="G1541" s="10" t="str">
        <f>_xlfn.XLOOKUP(B1541,[1]!Tabela1[[Cidades ]],[1]!Tabela1[Regional],0,0,1)</f>
        <v>Adilson</v>
      </c>
      <c r="H1541" s="13" t="str">
        <f>_xlfn.XLOOKUP(B1541,[1]!Tabela1[[Cidades ]],[1]!Tabela1[Gerente],0,0,1)</f>
        <v>Demais coordenadores</v>
      </c>
    </row>
    <row r="1542" spans="1:8" x14ac:dyDescent="0.3">
      <c r="A1542" s="4" t="s">
        <v>175</v>
      </c>
      <c r="B1542" s="5" t="s">
        <v>12</v>
      </c>
      <c r="C1542" s="6">
        <v>45840</v>
      </c>
      <c r="D1542" s="7">
        <v>40828</v>
      </c>
      <c r="E1542" s="5" t="str">
        <f>_xlfn.XLOOKUP(D1542,[1]!Tabela24[Código consultor],[1]!Tabela24[Consultor Venda],0,0,1)</f>
        <v>COM - PGO - CRISTIANE APARECIDA CHIAMULERA</v>
      </c>
      <c r="F1542" s="5" t="str">
        <f>_xlfn.XLOOKUP(D1542,[1]!Tabela24[Código consultor],[1]!Tabela24[Canal Consultor],0,0,1)</f>
        <v>Pap</v>
      </c>
      <c r="G1542" s="5" t="str">
        <f>_xlfn.XLOOKUP(B1542,[1]!Tabela1[[Cidades ]],[1]!Tabela1[Regional],0,0,1)</f>
        <v>Jean</v>
      </c>
      <c r="H1542" s="8" t="str">
        <f>_xlfn.XLOOKUP(B1542,[1]!Tabela1[[Cidades ]],[1]!Tabela1[Gerente],0,0,1)</f>
        <v>Demais coordenadores</v>
      </c>
    </row>
    <row r="1543" spans="1:8" x14ac:dyDescent="0.3">
      <c r="A1543" s="9" t="s">
        <v>1637</v>
      </c>
      <c r="B1543" s="10" t="s">
        <v>31</v>
      </c>
      <c r="C1543" s="11">
        <v>45840</v>
      </c>
      <c r="D1543" s="12">
        <v>788656</v>
      </c>
      <c r="E1543" s="5" t="str">
        <f>_xlfn.XLOOKUP(D1543,[1]!Tabela24[Código consultor],[1]!Tabela24[Consultor Venda],0,0,1)</f>
        <v>PAR - STB - PAP - JOY TELECOM - GABRIELA ALVES DE GODOY</v>
      </c>
      <c r="F1543" s="5" t="str">
        <f>_xlfn.XLOOKUP(D1543,[1]!Tabela24[Código consultor],[1]!Tabela24[Canal Consultor],0,0,1)</f>
        <v>PAR_DIG</v>
      </c>
      <c r="G1543" s="10" t="str">
        <f>_xlfn.XLOOKUP(B1543,[1]!Tabela1[[Cidades ]],[1]!Tabela1[Regional],0,0,1)</f>
        <v>Maycon</v>
      </c>
      <c r="H1543" s="13" t="str">
        <f>_xlfn.XLOOKUP(B1543,[1]!Tabela1[[Cidades ]],[1]!Tabela1[Gerente],0,0,1)</f>
        <v>Demais coordenadores</v>
      </c>
    </row>
    <row r="1544" spans="1:8" x14ac:dyDescent="0.3">
      <c r="A1544" s="4" t="s">
        <v>1638</v>
      </c>
      <c r="B1544" s="5" t="s">
        <v>38</v>
      </c>
      <c r="C1544" s="6">
        <v>45840</v>
      </c>
      <c r="D1544" s="7">
        <v>617463</v>
      </c>
      <c r="E1544" s="5" t="str">
        <f>_xlfn.XLOOKUP(D1544,[1]!Tabela24[Código consultor],[1]!Tabela24[Consultor Venda],0,0,1)</f>
        <v>DIG - CCO - ALEX AUGUSTO DA CRUZ RODRIGUES</v>
      </c>
      <c r="F1544" s="5" t="str">
        <f>_xlfn.XLOOKUP(D1544,[1]!Tabela24[Código consultor],[1]!Tabela24[Canal Consultor],0,0,1)</f>
        <v>DIGITAL</v>
      </c>
      <c r="G1544" s="5" t="str">
        <f>_xlfn.XLOOKUP(B1544,[1]!Tabela1[[Cidades ]],[1]!Tabela1[Regional],0,0,1)</f>
        <v>Jean</v>
      </c>
      <c r="H1544" s="8" t="str">
        <f>_xlfn.XLOOKUP(B1544,[1]!Tabela1[[Cidades ]],[1]!Tabela1[Gerente],0,0,1)</f>
        <v>Demais coordenadores</v>
      </c>
    </row>
    <row r="1545" spans="1:8" x14ac:dyDescent="0.3">
      <c r="A1545" s="9" t="s">
        <v>1639</v>
      </c>
      <c r="B1545" s="10" t="s">
        <v>22</v>
      </c>
      <c r="C1545" s="11">
        <v>45840</v>
      </c>
      <c r="D1545" s="12">
        <v>884801</v>
      </c>
      <c r="E1545" s="5" t="str">
        <f>_xlfn.XLOOKUP(D1545,[1]!Tabela24[Código consultor],[1]!Tabela24[Consultor Venda],0,0,1)</f>
        <v>COM - SCR - JOAO UALISON DOS SANTOS SIMIANER</v>
      </c>
      <c r="F1545" s="5" t="str">
        <f>_xlfn.XLOOKUP(D1545,[1]!Tabela24[Código consultor],[1]!Tabela24[Canal Consultor],0,0,1)</f>
        <v>INTERNO</v>
      </c>
      <c r="G1545" s="10" t="str">
        <f>_xlfn.XLOOKUP(B1545,[1]!Tabela1[[Cidades ]],[1]!Tabela1[Regional],0,0,1)</f>
        <v>Magno</v>
      </c>
      <c r="H1545" s="13" t="str">
        <f>_xlfn.XLOOKUP(B1545,[1]!Tabela1[[Cidades ]],[1]!Tabela1[Gerente],0,0,1)</f>
        <v>Demais coordenadores</v>
      </c>
    </row>
    <row r="1546" spans="1:8" x14ac:dyDescent="0.3">
      <c r="A1546" s="4" t="s">
        <v>1640</v>
      </c>
      <c r="B1546" s="5" t="s">
        <v>34</v>
      </c>
      <c r="C1546" s="6">
        <v>45840</v>
      </c>
      <c r="D1546" s="7">
        <v>827465</v>
      </c>
      <c r="E1546" s="5" t="str">
        <f>_xlfn.XLOOKUP(D1546,[1]!Tabela24[Código consultor],[1]!Tabela24[Consultor Venda],0,0,1)</f>
        <v>DIG - ATV - TAINARA RODRIGUES CORDEIRO</v>
      </c>
      <c r="F1546" s="5" t="str">
        <f>_xlfn.XLOOKUP(D1546,[1]!Tabela24[Código consultor],[1]!Tabela24[Canal Consultor],0,0,1)</f>
        <v>Televendas Ativo</v>
      </c>
      <c r="G1546" s="5" t="str">
        <f>_xlfn.XLOOKUP(B1546,[1]!Tabela1[[Cidades ]],[1]!Tabela1[Regional],0,0,1)</f>
        <v>Alisson</v>
      </c>
      <c r="H1546" s="8" t="str">
        <f>_xlfn.XLOOKUP(B1546,[1]!Tabela1[[Cidades ]],[1]!Tabela1[Gerente],0,0,1)</f>
        <v>Karine</v>
      </c>
    </row>
    <row r="1547" spans="1:8" x14ac:dyDescent="0.3">
      <c r="A1547" s="9" t="s">
        <v>1641</v>
      </c>
      <c r="B1547" s="10" t="s">
        <v>82</v>
      </c>
      <c r="C1547" s="11">
        <v>45840</v>
      </c>
      <c r="D1547" s="12">
        <v>788656</v>
      </c>
      <c r="E1547" s="5" t="str">
        <f>_xlfn.XLOOKUP(D1547,[1]!Tabela24[Código consultor],[1]!Tabela24[Consultor Venda],0,0,1)</f>
        <v>PAR - STB - PAP - JOY TELECOM - GABRIELA ALVES DE GODOY</v>
      </c>
      <c r="F1547" s="5" t="str">
        <f>_xlfn.XLOOKUP(D1547,[1]!Tabela24[Código consultor],[1]!Tabela24[Canal Consultor],0,0,1)</f>
        <v>PAR_DIG</v>
      </c>
      <c r="G1547" s="10" t="str">
        <f>_xlfn.XLOOKUP(B1547,[1]!Tabela1[[Cidades ]],[1]!Tabela1[Regional],0,0,1)</f>
        <v>Marcio</v>
      </c>
      <c r="H1547" s="13" t="str">
        <f>_xlfn.XLOOKUP(B1547,[1]!Tabela1[[Cidades ]],[1]!Tabela1[Gerente],0,0,1)</f>
        <v>Demais coordenadores</v>
      </c>
    </row>
    <row r="1548" spans="1:8" x14ac:dyDescent="0.3">
      <c r="A1548" s="4" t="s">
        <v>1642</v>
      </c>
      <c r="B1548" s="5" t="s">
        <v>23</v>
      </c>
      <c r="C1548" s="6">
        <v>45840</v>
      </c>
      <c r="D1548" s="7">
        <v>872155</v>
      </c>
      <c r="E1548" s="5" t="str">
        <f>_xlfn.XLOOKUP(D1548,[1]!Tabela24[Código consultor],[1]!Tabela24[Consultor Venda],0,0,1)</f>
        <v>COM - CAN - JULIANDRA DORNELES</v>
      </c>
      <c r="F1548" s="5" t="str">
        <f>_xlfn.XLOOKUP(D1548,[1]!Tabela24[Código consultor],[1]!Tabela24[Canal Consultor],0,0,1)</f>
        <v>Pap</v>
      </c>
      <c r="G1548" s="5" t="str">
        <f>_xlfn.XLOOKUP(B1548,[1]!Tabela1[[Cidades ]],[1]!Tabela1[Regional],0,0,1)</f>
        <v>Magno</v>
      </c>
      <c r="H1548" s="8" t="str">
        <f>_xlfn.XLOOKUP(B1548,[1]!Tabela1[[Cidades ]],[1]!Tabela1[Gerente],0,0,1)</f>
        <v>Demais coordenadores</v>
      </c>
    </row>
    <row r="1549" spans="1:8" x14ac:dyDescent="0.3">
      <c r="A1549" s="9" t="s">
        <v>1643</v>
      </c>
      <c r="B1549" s="10" t="s">
        <v>31</v>
      </c>
      <c r="C1549" s="11">
        <v>45840</v>
      </c>
      <c r="D1549" s="12">
        <v>683349</v>
      </c>
      <c r="E1549" s="5" t="str">
        <f>_xlfn.XLOOKUP(D1549,[1]!Tabela24[Código consultor],[1]!Tabela24[Consultor Venda],0,0,1)</f>
        <v>DIG - CCO - EVELLIN SALOA MAIA DA CONCEICAO</v>
      </c>
      <c r="F1549" s="5" t="str">
        <f>_xlfn.XLOOKUP(D1549,[1]!Tabela24[Código consultor],[1]!Tabela24[Canal Consultor],0,0,1)</f>
        <v>DIGITAL</v>
      </c>
      <c r="G1549" s="10" t="str">
        <f>_xlfn.XLOOKUP(B1549,[1]!Tabela1[[Cidades ]],[1]!Tabela1[Regional],0,0,1)</f>
        <v>Maycon</v>
      </c>
      <c r="H1549" s="13" t="str">
        <f>_xlfn.XLOOKUP(B1549,[1]!Tabela1[[Cidades ]],[1]!Tabela1[Gerente],0,0,1)</f>
        <v>Demais coordenadores</v>
      </c>
    </row>
    <row r="1550" spans="1:8" x14ac:dyDescent="0.3">
      <c r="A1550" s="4" t="s">
        <v>1644</v>
      </c>
      <c r="B1550" s="5" t="s">
        <v>53</v>
      </c>
      <c r="C1550" s="6">
        <v>45840</v>
      </c>
      <c r="D1550" s="7">
        <v>794227</v>
      </c>
      <c r="E1550" s="5" t="str">
        <f>_xlfn.XLOOKUP(D1550,[1]!Tabela24[Código consultor],[1]!Tabela24[Consultor Venda],0,0,1)</f>
        <v>PAR - PAP - TECH PERFORMANCE - Dario de Oliveira</v>
      </c>
      <c r="F1550" s="5" t="str">
        <f>_xlfn.XLOOKUP(D1550,[1]!Tabela24[Código consultor],[1]!Tabela24[Canal Consultor],0,0,1)</f>
        <v>Par</v>
      </c>
      <c r="G1550" s="5" t="str">
        <f>_xlfn.XLOOKUP(B1550,[1]!Tabela1[[Cidades ]],[1]!Tabela1[Regional],0,0,1)</f>
        <v>Adilson</v>
      </c>
      <c r="H1550" s="8" t="str">
        <f>_xlfn.XLOOKUP(B1550,[1]!Tabela1[[Cidades ]],[1]!Tabela1[Gerente],0,0,1)</f>
        <v>Demais coordenadores</v>
      </c>
    </row>
    <row r="1551" spans="1:8" x14ac:dyDescent="0.3">
      <c r="A1551" s="9" t="s">
        <v>1645</v>
      </c>
      <c r="B1551" s="10" t="s">
        <v>13</v>
      </c>
      <c r="C1551" s="11">
        <v>45840</v>
      </c>
      <c r="D1551" s="12">
        <v>683349</v>
      </c>
      <c r="E1551" s="5" t="str">
        <f>_xlfn.XLOOKUP(D1551,[1]!Tabela24[Código consultor],[1]!Tabela24[Consultor Venda],0,0,1)</f>
        <v>DIG - CCO - EVELLIN SALOA MAIA DA CONCEICAO</v>
      </c>
      <c r="F1551" s="5" t="str">
        <f>_xlfn.XLOOKUP(D1551,[1]!Tabela24[Código consultor],[1]!Tabela24[Canal Consultor],0,0,1)</f>
        <v>DIGITAL</v>
      </c>
      <c r="G1551" s="10" t="str">
        <f>_xlfn.XLOOKUP(B1551,[1]!Tabela1[[Cidades ]],[1]!Tabela1[Regional],0,0,1)</f>
        <v>Alisson</v>
      </c>
      <c r="H1551" s="13" t="str">
        <f>_xlfn.XLOOKUP(B1551,[1]!Tabela1[[Cidades ]],[1]!Tabela1[Gerente],0,0,1)</f>
        <v>Ariana</v>
      </c>
    </row>
    <row r="1552" spans="1:8" x14ac:dyDescent="0.3">
      <c r="A1552" s="4" t="s">
        <v>1646</v>
      </c>
      <c r="B1552" s="5" t="s">
        <v>47</v>
      </c>
      <c r="C1552" s="6">
        <v>45840</v>
      </c>
      <c r="D1552" s="7">
        <v>822770</v>
      </c>
      <c r="E1552" s="5" t="str">
        <f>_xlfn.XLOOKUP(D1552,[1]!Tabela24[Código consultor],[1]!Tabela24[Consultor Venda],0,0,1)</f>
        <v>COM - SCR - VINICIUS ALCEMAR DA SILVA</v>
      </c>
      <c r="F1552" s="5" t="str">
        <f>_xlfn.XLOOKUP(D1552,[1]!Tabela24[Código consultor],[1]!Tabela24[Canal Consultor],0,0,1)</f>
        <v>Pap</v>
      </c>
      <c r="G1552" s="5" t="str">
        <f>_xlfn.XLOOKUP(B1552,[1]!Tabela1[[Cidades ]],[1]!Tabela1[Regional],0,0,1)</f>
        <v>Magno</v>
      </c>
      <c r="H1552" s="8" t="str">
        <f>_xlfn.XLOOKUP(B1552,[1]!Tabela1[[Cidades ]],[1]!Tabela1[Gerente],0,0,1)</f>
        <v>Demais coordenadores</v>
      </c>
    </row>
    <row r="1553" spans="1:8" x14ac:dyDescent="0.3">
      <c r="A1553" s="9" t="s">
        <v>1647</v>
      </c>
      <c r="B1553" s="10" t="s">
        <v>16</v>
      </c>
      <c r="C1553" s="11">
        <v>45840</v>
      </c>
      <c r="D1553" s="12">
        <v>694166</v>
      </c>
      <c r="E1553" s="5" t="str">
        <f>_xlfn.XLOOKUP(D1553,[1]!Tabela24[Código consultor],[1]!Tabela24[Consultor Venda],0,0,1)</f>
        <v>DIG - CCO - CARINE CORREA SOARES</v>
      </c>
      <c r="F1553" s="5" t="str">
        <f>_xlfn.XLOOKUP(D1553,[1]!Tabela24[Código consultor],[1]!Tabela24[Canal Consultor],0,0,1)</f>
        <v>DIGITAL</v>
      </c>
      <c r="G1553" s="10" t="str">
        <f>_xlfn.XLOOKUP(B1553,[1]!Tabela1[[Cidades ]],[1]!Tabela1[Regional],0,0,1)</f>
        <v>Magno</v>
      </c>
      <c r="H1553" s="13" t="str">
        <f>_xlfn.XLOOKUP(B1553,[1]!Tabela1[[Cidades ]],[1]!Tabela1[Gerente],0,0,1)</f>
        <v>Demais coordenadores</v>
      </c>
    </row>
    <row r="1554" spans="1:8" x14ac:dyDescent="0.3">
      <c r="A1554" s="4" t="s">
        <v>1648</v>
      </c>
      <c r="B1554" s="5" t="s">
        <v>16</v>
      </c>
      <c r="C1554" s="6">
        <v>45840</v>
      </c>
      <c r="D1554" s="7">
        <v>560570</v>
      </c>
      <c r="E1554" s="5" t="str">
        <f>_xlfn.XLOOKUP(D1554,[1]!Tabela24[Código consultor],[1]!Tabela24[Consultor Venda],0,0,1)</f>
        <v>COM - CSL - ISMAEL LUIZ DA CRUZ</v>
      </c>
      <c r="F1554" s="5" t="str">
        <f>_xlfn.XLOOKUP(D1554,[1]!Tabela24[Código consultor],[1]!Tabela24[Canal Consultor],0,0,1)</f>
        <v>Pap</v>
      </c>
      <c r="G1554" s="5" t="str">
        <f>_xlfn.XLOOKUP(B1554,[1]!Tabela1[[Cidades ]],[1]!Tabela1[Regional],0,0,1)</f>
        <v>Magno</v>
      </c>
      <c r="H1554" s="8" t="str">
        <f>_xlfn.XLOOKUP(B1554,[1]!Tabela1[[Cidades ]],[1]!Tabela1[Gerente],0,0,1)</f>
        <v>Demais coordenadores</v>
      </c>
    </row>
    <row r="1555" spans="1:8" x14ac:dyDescent="0.3">
      <c r="A1555" s="9" t="s">
        <v>1649</v>
      </c>
      <c r="B1555" s="10" t="s">
        <v>42</v>
      </c>
      <c r="C1555" s="11">
        <v>45840</v>
      </c>
      <c r="D1555" s="12">
        <v>836541</v>
      </c>
      <c r="E1555" s="5" t="str">
        <f>_xlfn.XLOOKUP(D1555,[1]!Tabela24[Código consultor],[1]!Tabela24[Consultor Venda],0,0,1)</f>
        <v>COM - CDA - SARA DA SILVA LESSE</v>
      </c>
      <c r="F1555" s="5" t="str">
        <f>_xlfn.XLOOKUP(D1555,[1]!Tabela24[Código consultor],[1]!Tabela24[Canal Consultor],0,0,1)</f>
        <v>INTERNO</v>
      </c>
      <c r="G1555" s="10" t="str">
        <f>_xlfn.XLOOKUP(B1555,[1]!Tabela1[[Cidades ]],[1]!Tabela1[Regional],0,0,1)</f>
        <v>Maycon</v>
      </c>
      <c r="H1555" s="13" t="str">
        <f>_xlfn.XLOOKUP(B1555,[1]!Tabela1[[Cidades ]],[1]!Tabela1[Gerente],0,0,1)</f>
        <v>Demais coordenadores</v>
      </c>
    </row>
    <row r="1556" spans="1:8" x14ac:dyDescent="0.3">
      <c r="A1556" s="4" t="s">
        <v>1650</v>
      </c>
      <c r="B1556" s="5" t="s">
        <v>66</v>
      </c>
      <c r="C1556" s="6">
        <v>45840</v>
      </c>
      <c r="D1556" s="7">
        <v>857350</v>
      </c>
      <c r="E1556" s="5" t="str">
        <f>_xlfn.XLOOKUP(D1556,[1]!Tabela24[Código consultor],[1]!Tabela24[Consultor Venda],0,0,1)</f>
        <v>COM - FNS - BRUNO CAUA ALVES PADILHA</v>
      </c>
      <c r="F1556" s="5" t="str">
        <f>_xlfn.XLOOKUP(D1556,[1]!Tabela24[Código consultor],[1]!Tabela24[Canal Consultor],0,0,1)</f>
        <v>Pap</v>
      </c>
      <c r="G1556" s="5" t="str">
        <f>_xlfn.XLOOKUP(B1556,[1]!Tabela1[[Cidades ]],[1]!Tabela1[Regional],0,0,1)</f>
        <v>Marcio</v>
      </c>
      <c r="H1556" s="8" t="str">
        <f>_xlfn.XLOOKUP(B1556,[1]!Tabela1[[Cidades ]],[1]!Tabela1[Gerente],0,0,1)</f>
        <v>Demais coordenadores</v>
      </c>
    </row>
    <row r="1557" spans="1:8" x14ac:dyDescent="0.3">
      <c r="A1557" s="9" t="s">
        <v>1651</v>
      </c>
      <c r="B1557" s="10" t="s">
        <v>16</v>
      </c>
      <c r="C1557" s="11">
        <v>45840</v>
      </c>
      <c r="D1557" s="12">
        <v>617463</v>
      </c>
      <c r="E1557" s="5" t="str">
        <f>_xlfn.XLOOKUP(D1557,[1]!Tabela24[Código consultor],[1]!Tabela24[Consultor Venda],0,0,1)</f>
        <v>DIG - CCO - ALEX AUGUSTO DA CRUZ RODRIGUES</v>
      </c>
      <c r="F1557" s="5" t="str">
        <f>_xlfn.XLOOKUP(D1557,[1]!Tabela24[Código consultor],[1]!Tabela24[Canal Consultor],0,0,1)</f>
        <v>DIGITAL</v>
      </c>
      <c r="G1557" s="10" t="str">
        <f>_xlfn.XLOOKUP(B1557,[1]!Tabela1[[Cidades ]],[1]!Tabela1[Regional],0,0,1)</f>
        <v>Magno</v>
      </c>
      <c r="H1557" s="13" t="str">
        <f>_xlfn.XLOOKUP(B1557,[1]!Tabela1[[Cidades ]],[1]!Tabela1[Gerente],0,0,1)</f>
        <v>Demais coordenadores</v>
      </c>
    </row>
    <row r="1558" spans="1:8" x14ac:dyDescent="0.3">
      <c r="A1558" s="4" t="s">
        <v>1652</v>
      </c>
      <c r="B1558" s="5" t="s">
        <v>11</v>
      </c>
      <c r="C1558" s="6">
        <v>45840</v>
      </c>
      <c r="D1558" s="7">
        <v>235841</v>
      </c>
      <c r="E1558" s="5" t="str">
        <f>_xlfn.XLOOKUP(D1558,[1]!Tabela24[Código consultor],[1]!Tabela24[Consultor Venda],0,0,1)</f>
        <v>DIG - CCO - KAUANA BONI</v>
      </c>
      <c r="F1558" s="5" t="str">
        <f>_xlfn.XLOOKUP(D1558,[1]!Tabela24[Código consultor],[1]!Tabela24[Canal Consultor],0,0,1)</f>
        <v>DIGITAL</v>
      </c>
      <c r="G1558" s="5" t="str">
        <f>_xlfn.XLOOKUP(B1558,[1]!Tabela1[[Cidades ]],[1]!Tabela1[Regional],0,0,1)</f>
        <v>Magno</v>
      </c>
      <c r="H1558" s="8" t="str">
        <f>_xlfn.XLOOKUP(B1558,[1]!Tabela1[[Cidades ]],[1]!Tabela1[Gerente],0,0,1)</f>
        <v>Demais coordenadores</v>
      </c>
    </row>
    <row r="1559" spans="1:8" x14ac:dyDescent="0.3">
      <c r="A1559" s="9" t="s">
        <v>1653</v>
      </c>
      <c r="B1559" s="10" t="s">
        <v>23</v>
      </c>
      <c r="C1559" s="11">
        <v>45840</v>
      </c>
      <c r="D1559" s="12">
        <v>811237</v>
      </c>
      <c r="E1559" s="5" t="str">
        <f>_xlfn.XLOOKUP(D1559,[1]!Tabela24[Código consultor],[1]!Tabela24[Consultor Venda],0,0,1)</f>
        <v>DIG - CCO - MAIKON JORDAN CHAVES DE QUADROS</v>
      </c>
      <c r="F1559" s="5" t="str">
        <f>_xlfn.XLOOKUP(D1559,[1]!Tabela24[Código consultor],[1]!Tabela24[Canal Consultor],0,0,1)</f>
        <v>DIGITAL</v>
      </c>
      <c r="G1559" s="10" t="str">
        <f>_xlfn.XLOOKUP(B1559,[1]!Tabela1[[Cidades ]],[1]!Tabela1[Regional],0,0,1)</f>
        <v>Magno</v>
      </c>
      <c r="H1559" s="13" t="str">
        <f>_xlfn.XLOOKUP(B1559,[1]!Tabela1[[Cidades ]],[1]!Tabela1[Gerente],0,0,1)</f>
        <v>Demais coordenadores</v>
      </c>
    </row>
    <row r="1560" spans="1:8" x14ac:dyDescent="0.3">
      <c r="A1560" s="4" t="s">
        <v>1654</v>
      </c>
      <c r="B1560" s="5" t="s">
        <v>14</v>
      </c>
      <c r="C1560" s="6">
        <v>45840</v>
      </c>
      <c r="D1560" s="7">
        <v>600710</v>
      </c>
      <c r="E1560" s="5" t="str">
        <f>_xlfn.XLOOKUP(D1560,[1]!Tabela24[Código consultor],[1]!Tabela24[Consultor Venda],0,0,1)</f>
        <v>DIG - CCO - BRUNA BALBINOTTI</v>
      </c>
      <c r="F1560" s="5" t="str">
        <f>_xlfn.XLOOKUP(D1560,[1]!Tabela24[Código consultor],[1]!Tabela24[Canal Consultor],0,0,1)</f>
        <v>DIGITAL</v>
      </c>
      <c r="G1560" s="5" t="str">
        <f>_xlfn.XLOOKUP(B1560,[1]!Tabela1[[Cidades ]],[1]!Tabela1[Regional],0,0,1)</f>
        <v>Maycon</v>
      </c>
      <c r="H1560" s="8" t="str">
        <f>_xlfn.XLOOKUP(B1560,[1]!Tabela1[[Cidades ]],[1]!Tabela1[Gerente],0,0,1)</f>
        <v>Demais coordenadores</v>
      </c>
    </row>
    <row r="1561" spans="1:8" x14ac:dyDescent="0.3">
      <c r="A1561" s="9" t="s">
        <v>1655</v>
      </c>
      <c r="B1561" s="10" t="s">
        <v>13</v>
      </c>
      <c r="C1561" s="11">
        <v>45840</v>
      </c>
      <c r="D1561" s="12">
        <v>876149</v>
      </c>
      <c r="E1561" s="5" t="str">
        <f>_xlfn.XLOOKUP(D1561,[1]!Tabela24[Código consultor],[1]!Tabela24[Consultor Venda],0,0,1)</f>
        <v>COM - PAS - DANIEL DA SILVA PINHEIRO</v>
      </c>
      <c r="F1561" s="5" t="str">
        <f>_xlfn.XLOOKUP(D1561,[1]!Tabela24[Código consultor],[1]!Tabela24[Canal Consultor],0,0,1)</f>
        <v>Pap</v>
      </c>
      <c r="G1561" s="10" t="str">
        <f>_xlfn.XLOOKUP(B1561,[1]!Tabela1[[Cidades ]],[1]!Tabela1[Regional],0,0,1)</f>
        <v>Alisson</v>
      </c>
      <c r="H1561" s="13" t="str">
        <f>_xlfn.XLOOKUP(B1561,[1]!Tabela1[[Cidades ]],[1]!Tabela1[Gerente],0,0,1)</f>
        <v>Ariana</v>
      </c>
    </row>
    <row r="1562" spans="1:8" x14ac:dyDescent="0.3">
      <c r="A1562" s="4" t="s">
        <v>1656</v>
      </c>
      <c r="B1562" s="5" t="s">
        <v>47</v>
      </c>
      <c r="C1562" s="6">
        <v>45840</v>
      </c>
      <c r="D1562" s="7">
        <v>683349</v>
      </c>
      <c r="E1562" s="5" t="str">
        <f>_xlfn.XLOOKUP(D1562,[1]!Tabela24[Código consultor],[1]!Tabela24[Consultor Venda],0,0,1)</f>
        <v>DIG - CCO - EVELLIN SALOA MAIA DA CONCEICAO</v>
      </c>
      <c r="F1562" s="5" t="str">
        <f>_xlfn.XLOOKUP(D1562,[1]!Tabela24[Código consultor],[1]!Tabela24[Canal Consultor],0,0,1)</f>
        <v>DIGITAL</v>
      </c>
      <c r="G1562" s="5" t="str">
        <f>_xlfn.XLOOKUP(B1562,[1]!Tabela1[[Cidades ]],[1]!Tabela1[Regional],0,0,1)</f>
        <v>Magno</v>
      </c>
      <c r="H1562" s="8" t="str">
        <f>_xlfn.XLOOKUP(B1562,[1]!Tabela1[[Cidades ]],[1]!Tabela1[Gerente],0,0,1)</f>
        <v>Demais coordenadores</v>
      </c>
    </row>
    <row r="1563" spans="1:8" x14ac:dyDescent="0.3">
      <c r="A1563" s="9" t="s">
        <v>1657</v>
      </c>
      <c r="B1563" s="10" t="s">
        <v>12</v>
      </c>
      <c r="C1563" s="11">
        <v>45840</v>
      </c>
      <c r="D1563" s="12">
        <v>788656</v>
      </c>
      <c r="E1563" s="5" t="str">
        <f>_xlfn.XLOOKUP(D1563,[1]!Tabela24[Código consultor],[1]!Tabela24[Consultor Venda],0,0,1)</f>
        <v>PAR - STB - PAP - JOY TELECOM - GABRIELA ALVES DE GODOY</v>
      </c>
      <c r="F1563" s="5" t="str">
        <f>_xlfn.XLOOKUP(D1563,[1]!Tabela24[Código consultor],[1]!Tabela24[Canal Consultor],0,0,1)</f>
        <v>PAR_DIG</v>
      </c>
      <c r="G1563" s="10" t="str">
        <f>_xlfn.XLOOKUP(B1563,[1]!Tabela1[[Cidades ]],[1]!Tabela1[Regional],0,0,1)</f>
        <v>Jean</v>
      </c>
      <c r="H1563" s="13" t="str">
        <f>_xlfn.XLOOKUP(B1563,[1]!Tabela1[[Cidades ]],[1]!Tabela1[Gerente],0,0,1)</f>
        <v>Demais coordenadores</v>
      </c>
    </row>
    <row r="1564" spans="1:8" x14ac:dyDescent="0.3">
      <c r="A1564" s="4" t="s">
        <v>1658</v>
      </c>
      <c r="B1564" s="5" t="s">
        <v>12</v>
      </c>
      <c r="C1564" s="6">
        <v>45840</v>
      </c>
      <c r="D1564" s="7">
        <v>788656</v>
      </c>
      <c r="E1564" s="5" t="str">
        <f>_xlfn.XLOOKUP(D1564,[1]!Tabela24[Código consultor],[1]!Tabela24[Consultor Venda],0,0,1)</f>
        <v>PAR - STB - PAP - JOY TELECOM - GABRIELA ALVES DE GODOY</v>
      </c>
      <c r="F1564" s="5" t="str">
        <f>_xlfn.XLOOKUP(D1564,[1]!Tabela24[Código consultor],[1]!Tabela24[Canal Consultor],0,0,1)</f>
        <v>PAR_DIG</v>
      </c>
      <c r="G1564" s="5" t="str">
        <f>_xlfn.XLOOKUP(B1564,[1]!Tabela1[[Cidades ]],[1]!Tabela1[Regional],0,0,1)</f>
        <v>Jean</v>
      </c>
      <c r="H1564" s="8" t="str">
        <f>_xlfn.XLOOKUP(B1564,[1]!Tabela1[[Cidades ]],[1]!Tabela1[Gerente],0,0,1)</f>
        <v>Demais coordenadores</v>
      </c>
    </row>
    <row r="1565" spans="1:8" x14ac:dyDescent="0.3">
      <c r="A1565" s="9" t="s">
        <v>1659</v>
      </c>
      <c r="B1565" s="10" t="s">
        <v>59</v>
      </c>
      <c r="C1565" s="11">
        <v>45840</v>
      </c>
      <c r="D1565" s="12">
        <v>694166</v>
      </c>
      <c r="E1565" s="5" t="str">
        <f>_xlfn.XLOOKUP(D1565,[1]!Tabela24[Código consultor],[1]!Tabela24[Consultor Venda],0,0,1)</f>
        <v>DIG - CCO - CARINE CORREA SOARES</v>
      </c>
      <c r="F1565" s="5" t="str">
        <f>_xlfn.XLOOKUP(D1565,[1]!Tabela24[Código consultor],[1]!Tabela24[Canal Consultor],0,0,1)</f>
        <v>DIGITAL</v>
      </c>
      <c r="G1565" s="10" t="str">
        <f>_xlfn.XLOOKUP(B1565,[1]!Tabela1[[Cidades ]],[1]!Tabela1[Regional],0,0,1)</f>
        <v>Adilson</v>
      </c>
      <c r="H1565" s="13" t="str">
        <f>_xlfn.XLOOKUP(B1565,[1]!Tabela1[[Cidades ]],[1]!Tabela1[Gerente],0,0,1)</f>
        <v>Demais coordenadores</v>
      </c>
    </row>
    <row r="1566" spans="1:8" x14ac:dyDescent="0.3">
      <c r="A1566" s="4" t="s">
        <v>1660</v>
      </c>
      <c r="B1566" s="5" t="s">
        <v>22</v>
      </c>
      <c r="C1566" s="6">
        <v>45840</v>
      </c>
      <c r="D1566" s="7">
        <v>818103</v>
      </c>
      <c r="E1566" s="5" t="str">
        <f>_xlfn.XLOOKUP(D1566,[1]!Tabela24[Código consultor],[1]!Tabela24[Consultor Venda],0,0,1)</f>
        <v>DIG - ATV - WESLEY NATAN GARCIA PALHANO</v>
      </c>
      <c r="F1566" s="5" t="str">
        <f>_xlfn.XLOOKUP(D1566,[1]!Tabela24[Código consultor],[1]!Tabela24[Canal Consultor],0,0,1)</f>
        <v>Televendas Ativo</v>
      </c>
      <c r="G1566" s="5" t="str">
        <f>_xlfn.XLOOKUP(B1566,[1]!Tabela1[[Cidades ]],[1]!Tabela1[Regional],0,0,1)</f>
        <v>Magno</v>
      </c>
      <c r="H1566" s="8" t="str">
        <f>_xlfn.XLOOKUP(B1566,[1]!Tabela1[[Cidades ]],[1]!Tabela1[Gerente],0,0,1)</f>
        <v>Demais coordenadores</v>
      </c>
    </row>
    <row r="1567" spans="1:8" x14ac:dyDescent="0.3">
      <c r="A1567" s="9" t="s">
        <v>1661</v>
      </c>
      <c r="B1567" s="10" t="s">
        <v>22</v>
      </c>
      <c r="C1567" s="11">
        <v>45840</v>
      </c>
      <c r="D1567" s="12">
        <v>788656</v>
      </c>
      <c r="E1567" s="5" t="str">
        <f>_xlfn.XLOOKUP(D1567,[1]!Tabela24[Código consultor],[1]!Tabela24[Consultor Venda],0,0,1)</f>
        <v>PAR - STB - PAP - JOY TELECOM - GABRIELA ALVES DE GODOY</v>
      </c>
      <c r="F1567" s="5" t="str">
        <f>_xlfn.XLOOKUP(D1567,[1]!Tabela24[Código consultor],[1]!Tabela24[Canal Consultor],0,0,1)</f>
        <v>PAR_DIG</v>
      </c>
      <c r="G1567" s="10" t="str">
        <f>_xlfn.XLOOKUP(B1567,[1]!Tabela1[[Cidades ]],[1]!Tabela1[Regional],0,0,1)</f>
        <v>Magno</v>
      </c>
      <c r="H1567" s="13" t="str">
        <f>_xlfn.XLOOKUP(B1567,[1]!Tabela1[[Cidades ]],[1]!Tabela1[Gerente],0,0,1)</f>
        <v>Demais coordenadores</v>
      </c>
    </row>
    <row r="1568" spans="1:8" x14ac:dyDescent="0.3">
      <c r="A1568" s="4" t="s">
        <v>1662</v>
      </c>
      <c r="B1568" s="5" t="s">
        <v>25</v>
      </c>
      <c r="C1568" s="6">
        <v>45840</v>
      </c>
      <c r="D1568" s="7">
        <v>698940</v>
      </c>
      <c r="E1568" s="5" t="str">
        <f>_xlfn.XLOOKUP(D1568,[1]!Tabela24[Código consultor],[1]!Tabela24[Consultor Venda],0,0,1)</f>
        <v>COM - ADZ - ANDREIA MACHADO DE OLIVEIRA</v>
      </c>
      <c r="F1568" s="5" t="str">
        <f>_xlfn.XLOOKUP(D1568,[1]!Tabela24[Código consultor],[1]!Tabela24[Canal Consultor],0,0,1)</f>
        <v>INTERNO</v>
      </c>
      <c r="G1568" s="5" t="str">
        <f>_xlfn.XLOOKUP(B1568,[1]!Tabela1[[Cidades ]],[1]!Tabela1[Regional],0,0,1)</f>
        <v>Maycon</v>
      </c>
      <c r="H1568" s="8" t="str">
        <f>_xlfn.XLOOKUP(B1568,[1]!Tabela1[[Cidades ]],[1]!Tabela1[Gerente],0,0,1)</f>
        <v>Demais coordenadores</v>
      </c>
    </row>
    <row r="1569" spans="1:8" x14ac:dyDescent="0.3">
      <c r="A1569" s="9" t="s">
        <v>1663</v>
      </c>
      <c r="B1569" s="10" t="s">
        <v>34</v>
      </c>
      <c r="C1569" s="11">
        <v>45840</v>
      </c>
      <c r="D1569" s="12">
        <v>680982</v>
      </c>
      <c r="E1569" s="5" t="str">
        <f>_xlfn.XLOOKUP(D1569,[1]!Tabela24[Código consultor],[1]!Tabela24[Consultor Venda],0,0,1)</f>
        <v>COM - ERE - JESSICA LAURA SOUZA</v>
      </c>
      <c r="F1569" s="5" t="str">
        <f>_xlfn.XLOOKUP(D1569,[1]!Tabela24[Código consultor],[1]!Tabela24[Canal Consultor],0,0,1)</f>
        <v>INTERNO</v>
      </c>
      <c r="G1569" s="10" t="str">
        <f>_xlfn.XLOOKUP(B1569,[1]!Tabela1[[Cidades ]],[1]!Tabela1[Regional],0,0,1)</f>
        <v>Alisson</v>
      </c>
      <c r="H1569" s="13" t="str">
        <f>_xlfn.XLOOKUP(B1569,[1]!Tabela1[[Cidades ]],[1]!Tabela1[Gerente],0,0,1)</f>
        <v>Karine</v>
      </c>
    </row>
    <row r="1570" spans="1:8" x14ac:dyDescent="0.3">
      <c r="A1570" s="4" t="s">
        <v>1664</v>
      </c>
      <c r="B1570" s="5" t="s">
        <v>12</v>
      </c>
      <c r="C1570" s="6">
        <v>45840</v>
      </c>
      <c r="D1570" s="7">
        <v>233138</v>
      </c>
      <c r="E1570" s="5" t="str">
        <f>_xlfn.XLOOKUP(D1570,[1]!Tabela24[Código consultor],[1]!Tabela24[Consultor Venda],0,0,1)</f>
        <v>PAR - INTE - GRP - MOBILE HD - ALINE KARNOSKI</v>
      </c>
      <c r="F1570" s="5" t="str">
        <f>_xlfn.XLOOKUP(D1570,[1]!Tabela24[Código consultor],[1]!Tabela24[Canal Consultor],0,0,1)</f>
        <v>PAR</v>
      </c>
      <c r="G1570" s="5" t="str">
        <f>_xlfn.XLOOKUP(B1570,[1]!Tabela1[[Cidades ]],[1]!Tabela1[Regional],0,0,1)</f>
        <v>Jean</v>
      </c>
      <c r="H1570" s="8" t="str">
        <f>_xlfn.XLOOKUP(B1570,[1]!Tabela1[[Cidades ]],[1]!Tabela1[Gerente],0,0,1)</f>
        <v>Demais coordenadores</v>
      </c>
    </row>
    <row r="1571" spans="1:8" x14ac:dyDescent="0.3">
      <c r="A1571" s="9" t="s">
        <v>1665</v>
      </c>
      <c r="B1571" s="10" t="s">
        <v>11</v>
      </c>
      <c r="C1571" s="11">
        <v>45840</v>
      </c>
      <c r="D1571" s="12">
        <v>738880</v>
      </c>
      <c r="E1571" s="5" t="str">
        <f>_xlfn.XLOOKUP(D1571,[1]!Tabela24[Código consultor],[1]!Tabela24[Consultor Venda],0,0,1)</f>
        <v>PAR - PAP - MUNDIALE - ANA LUIZA COUTO MATIAS</v>
      </c>
      <c r="F1571" s="5" t="str">
        <f>_xlfn.XLOOKUP(D1571,[1]!Tabela24[Código consultor],[1]!Tabela24[Canal Consultor],0,0,1)</f>
        <v>PAR_DIG</v>
      </c>
      <c r="G1571" s="10" t="str">
        <f>_xlfn.XLOOKUP(B1571,[1]!Tabela1[[Cidades ]],[1]!Tabela1[Regional],0,0,1)</f>
        <v>Magno</v>
      </c>
      <c r="H1571" s="13" t="str">
        <f>_xlfn.XLOOKUP(B1571,[1]!Tabela1[[Cidades ]],[1]!Tabela1[Gerente],0,0,1)</f>
        <v>Demais coordenadores</v>
      </c>
    </row>
    <row r="1572" spans="1:8" x14ac:dyDescent="0.3">
      <c r="A1572" s="4" t="s">
        <v>1666</v>
      </c>
      <c r="B1572" s="5" t="s">
        <v>15</v>
      </c>
      <c r="C1572" s="6">
        <v>45840</v>
      </c>
      <c r="D1572" s="7">
        <v>882361</v>
      </c>
      <c r="E1572" s="5" t="str">
        <f>_xlfn.XLOOKUP(D1572,[1]!Tabela24[Código consultor],[1]!Tabela24[Consultor Venda],0,0,1)</f>
        <v>COM - IAI - BLEIDE GANUNM DA SILVA</v>
      </c>
      <c r="F1572" s="5" t="str">
        <f>_xlfn.XLOOKUP(D1572,[1]!Tabela24[Código consultor],[1]!Tabela24[Canal Consultor],0,0,1)</f>
        <v>Pap</v>
      </c>
      <c r="G1572" s="5" t="str">
        <f>_xlfn.XLOOKUP(B1572,[1]!Tabela1[[Cidades ]],[1]!Tabela1[Regional],0,0,1)</f>
        <v>Marcio</v>
      </c>
      <c r="H1572" s="8" t="str">
        <f>_xlfn.XLOOKUP(B1572,[1]!Tabela1[[Cidades ]],[1]!Tabela1[Gerente],0,0,1)</f>
        <v>Demais coordenadores</v>
      </c>
    </row>
    <row r="1573" spans="1:8" x14ac:dyDescent="0.3">
      <c r="A1573" s="9" t="s">
        <v>1667</v>
      </c>
      <c r="B1573" s="10" t="s">
        <v>60</v>
      </c>
      <c r="C1573" s="11">
        <v>45840</v>
      </c>
      <c r="D1573" s="12">
        <v>788656</v>
      </c>
      <c r="E1573" s="5" t="str">
        <f>_xlfn.XLOOKUP(D1573,[1]!Tabela24[Código consultor],[1]!Tabela24[Consultor Venda],0,0,1)</f>
        <v>PAR - STB - PAP - JOY TELECOM - GABRIELA ALVES DE GODOY</v>
      </c>
      <c r="F1573" s="5" t="str">
        <f>_xlfn.XLOOKUP(D1573,[1]!Tabela24[Código consultor],[1]!Tabela24[Canal Consultor],0,0,1)</f>
        <v>PAR_DIG</v>
      </c>
      <c r="G1573" s="10" t="str">
        <f>_xlfn.XLOOKUP(B1573,[1]!Tabela1[[Cidades ]],[1]!Tabela1[Regional],0,0,1)</f>
        <v>Magno</v>
      </c>
      <c r="H1573" s="13" t="str">
        <f>_xlfn.XLOOKUP(B1573,[1]!Tabela1[[Cidades ]],[1]!Tabela1[Gerente],0,0,1)</f>
        <v>Demais coordenadores</v>
      </c>
    </row>
    <row r="1574" spans="1:8" x14ac:dyDescent="0.3">
      <c r="A1574" s="4" t="s">
        <v>1668</v>
      </c>
      <c r="B1574" s="5" t="s">
        <v>22</v>
      </c>
      <c r="C1574" s="6">
        <v>45840</v>
      </c>
      <c r="D1574" s="7">
        <v>884801</v>
      </c>
      <c r="E1574" s="5" t="str">
        <f>_xlfn.XLOOKUP(D1574,[1]!Tabela24[Código consultor],[1]!Tabela24[Consultor Venda],0,0,1)</f>
        <v>COM - SCR - JOAO UALISON DOS SANTOS SIMIANER</v>
      </c>
      <c r="F1574" s="5" t="str">
        <f>_xlfn.XLOOKUP(D1574,[1]!Tabela24[Código consultor],[1]!Tabela24[Canal Consultor],0,0,1)</f>
        <v>INTERNO</v>
      </c>
      <c r="G1574" s="5" t="str">
        <f>_xlfn.XLOOKUP(B1574,[1]!Tabela1[[Cidades ]],[1]!Tabela1[Regional],0,0,1)</f>
        <v>Magno</v>
      </c>
      <c r="H1574" s="8" t="str">
        <f>_xlfn.XLOOKUP(B1574,[1]!Tabela1[[Cidades ]],[1]!Tabela1[Gerente],0,0,1)</f>
        <v>Demais coordenadores</v>
      </c>
    </row>
    <row r="1575" spans="1:8" x14ac:dyDescent="0.3">
      <c r="A1575" s="9" t="s">
        <v>1669</v>
      </c>
      <c r="B1575" s="10" t="s">
        <v>43</v>
      </c>
      <c r="C1575" s="11">
        <v>45840</v>
      </c>
      <c r="D1575" s="12">
        <v>788656</v>
      </c>
      <c r="E1575" s="5" t="str">
        <f>_xlfn.XLOOKUP(D1575,[1]!Tabela24[Código consultor],[1]!Tabela24[Consultor Venda],0,0,1)</f>
        <v>PAR - STB - PAP - JOY TELECOM - GABRIELA ALVES DE GODOY</v>
      </c>
      <c r="F1575" s="5" t="str">
        <f>_xlfn.XLOOKUP(D1575,[1]!Tabela24[Código consultor],[1]!Tabela24[Canal Consultor],0,0,1)</f>
        <v>PAR_DIG</v>
      </c>
      <c r="G1575" s="10" t="str">
        <f>_xlfn.XLOOKUP(B1575,[1]!Tabela1[[Cidades ]],[1]!Tabela1[Regional],0,0,1)</f>
        <v>Jean</v>
      </c>
      <c r="H1575" s="13" t="str">
        <f>_xlfn.XLOOKUP(B1575,[1]!Tabela1[[Cidades ]],[1]!Tabela1[Gerente],0,0,1)</f>
        <v>Demais coordenadores</v>
      </c>
    </row>
    <row r="1576" spans="1:8" x14ac:dyDescent="0.3">
      <c r="A1576" s="4" t="s">
        <v>1670</v>
      </c>
      <c r="B1576" s="5" t="s">
        <v>11</v>
      </c>
      <c r="C1576" s="6">
        <v>45840</v>
      </c>
      <c r="D1576" s="7">
        <v>788656</v>
      </c>
      <c r="E1576" s="5" t="str">
        <f>_xlfn.XLOOKUP(D1576,[1]!Tabela24[Código consultor],[1]!Tabela24[Consultor Venda],0,0,1)</f>
        <v>PAR - STB - PAP - JOY TELECOM - GABRIELA ALVES DE GODOY</v>
      </c>
      <c r="F1576" s="5" t="str">
        <f>_xlfn.XLOOKUP(D1576,[1]!Tabela24[Código consultor],[1]!Tabela24[Canal Consultor],0,0,1)</f>
        <v>PAR_DIG</v>
      </c>
      <c r="G1576" s="5" t="str">
        <f>_xlfn.XLOOKUP(B1576,[1]!Tabela1[[Cidades ]],[1]!Tabela1[Regional],0,0,1)</f>
        <v>Magno</v>
      </c>
      <c r="H1576" s="8" t="str">
        <f>_xlfn.XLOOKUP(B1576,[1]!Tabela1[[Cidades ]],[1]!Tabela1[Gerente],0,0,1)</f>
        <v>Demais coordenadores</v>
      </c>
    </row>
    <row r="1577" spans="1:8" x14ac:dyDescent="0.3">
      <c r="A1577" s="9" t="s">
        <v>1671</v>
      </c>
      <c r="B1577" s="10" t="s">
        <v>11</v>
      </c>
      <c r="C1577" s="11">
        <v>45840</v>
      </c>
      <c r="D1577" s="12">
        <v>788656</v>
      </c>
      <c r="E1577" s="5" t="str">
        <f>_xlfn.XLOOKUP(D1577,[1]!Tabela24[Código consultor],[1]!Tabela24[Consultor Venda],0,0,1)</f>
        <v>PAR - STB - PAP - JOY TELECOM - GABRIELA ALVES DE GODOY</v>
      </c>
      <c r="F1577" s="5" t="str">
        <f>_xlfn.XLOOKUP(D1577,[1]!Tabela24[Código consultor],[1]!Tabela24[Canal Consultor],0,0,1)</f>
        <v>PAR_DIG</v>
      </c>
      <c r="G1577" s="10" t="str">
        <f>_xlfn.XLOOKUP(B1577,[1]!Tabela1[[Cidades ]],[1]!Tabela1[Regional],0,0,1)</f>
        <v>Magno</v>
      </c>
      <c r="H1577" s="13" t="str">
        <f>_xlfn.XLOOKUP(B1577,[1]!Tabela1[[Cidades ]],[1]!Tabela1[Gerente],0,0,1)</f>
        <v>Demais coordenadores</v>
      </c>
    </row>
    <row r="1578" spans="1:8" x14ac:dyDescent="0.3">
      <c r="A1578" s="4" t="s">
        <v>1672</v>
      </c>
      <c r="B1578" s="5" t="s">
        <v>11</v>
      </c>
      <c r="C1578" s="6">
        <v>45840</v>
      </c>
      <c r="D1578" s="7">
        <v>788656</v>
      </c>
      <c r="E1578" s="5" t="str">
        <f>_xlfn.XLOOKUP(D1578,[1]!Tabela24[Código consultor],[1]!Tabela24[Consultor Venda],0,0,1)</f>
        <v>PAR - STB - PAP - JOY TELECOM - GABRIELA ALVES DE GODOY</v>
      </c>
      <c r="F1578" s="5" t="str">
        <f>_xlfn.XLOOKUP(D1578,[1]!Tabela24[Código consultor],[1]!Tabela24[Canal Consultor],0,0,1)</f>
        <v>PAR_DIG</v>
      </c>
      <c r="G1578" s="5" t="str">
        <f>_xlfn.XLOOKUP(B1578,[1]!Tabela1[[Cidades ]],[1]!Tabela1[Regional],0,0,1)</f>
        <v>Magno</v>
      </c>
      <c r="H1578" s="8" t="str">
        <f>_xlfn.XLOOKUP(B1578,[1]!Tabela1[[Cidades ]],[1]!Tabela1[Gerente],0,0,1)</f>
        <v>Demais coordenadores</v>
      </c>
    </row>
    <row r="1579" spans="1:8" x14ac:dyDescent="0.3">
      <c r="A1579" s="9" t="s">
        <v>1673</v>
      </c>
      <c r="B1579" s="10" t="s">
        <v>45</v>
      </c>
      <c r="C1579" s="11">
        <v>45840</v>
      </c>
      <c r="D1579" s="12">
        <v>788656</v>
      </c>
      <c r="E1579" s="5" t="str">
        <f>_xlfn.XLOOKUP(D1579,[1]!Tabela24[Código consultor],[1]!Tabela24[Consultor Venda],0,0,1)</f>
        <v>PAR - STB - PAP - JOY TELECOM - GABRIELA ALVES DE GODOY</v>
      </c>
      <c r="F1579" s="5" t="str">
        <f>_xlfn.XLOOKUP(D1579,[1]!Tabela24[Código consultor],[1]!Tabela24[Canal Consultor],0,0,1)</f>
        <v>PAR_DIG</v>
      </c>
      <c r="G1579" s="10" t="str">
        <f>_xlfn.XLOOKUP(B1579,[1]!Tabela1[[Cidades ]],[1]!Tabela1[Regional],0,0,1)</f>
        <v>Jean</v>
      </c>
      <c r="H1579" s="13" t="str">
        <f>_xlfn.XLOOKUP(B1579,[1]!Tabela1[[Cidades ]],[1]!Tabela1[Gerente],0,0,1)</f>
        <v>Demais coordenadores</v>
      </c>
    </row>
    <row r="1580" spans="1:8" x14ac:dyDescent="0.3">
      <c r="A1580" s="4" t="s">
        <v>1674</v>
      </c>
      <c r="B1580" s="5" t="s">
        <v>60</v>
      </c>
      <c r="C1580" s="6">
        <v>45840</v>
      </c>
      <c r="D1580" s="7">
        <v>861705</v>
      </c>
      <c r="E1580" s="5" t="str">
        <f>_xlfn.XLOOKUP(D1580,[1]!Tabela24[Código consultor],[1]!Tabela24[Consultor Venda],0,0,1)</f>
        <v>PAR - COM - PAP - TQR - ERIKA DE OLIVEIRA GALLE</v>
      </c>
      <c r="F1580" s="5" t="str">
        <f>_xlfn.XLOOKUP(D1580,[1]!Tabela24[Código consultor],[1]!Tabela24[Canal Consultor],0,0,1)</f>
        <v>PAR</v>
      </c>
      <c r="G1580" s="5" t="str">
        <f>_xlfn.XLOOKUP(B1580,[1]!Tabela1[[Cidades ]],[1]!Tabela1[Regional],0,0,1)</f>
        <v>Magno</v>
      </c>
      <c r="H1580" s="8" t="str">
        <f>_xlfn.XLOOKUP(B1580,[1]!Tabela1[[Cidades ]],[1]!Tabela1[Gerente],0,0,1)</f>
        <v>Demais coordenadores</v>
      </c>
    </row>
    <row r="1581" spans="1:8" x14ac:dyDescent="0.3">
      <c r="A1581" s="9" t="s">
        <v>1675</v>
      </c>
      <c r="B1581" s="10" t="s">
        <v>60</v>
      </c>
      <c r="C1581" s="11">
        <v>45840</v>
      </c>
      <c r="D1581" s="12">
        <v>861705</v>
      </c>
      <c r="E1581" s="5" t="str">
        <f>_xlfn.XLOOKUP(D1581,[1]!Tabela24[Código consultor],[1]!Tabela24[Consultor Venda],0,0,1)</f>
        <v>PAR - COM - PAP - TQR - ERIKA DE OLIVEIRA GALLE</v>
      </c>
      <c r="F1581" s="5" t="str">
        <f>_xlfn.XLOOKUP(D1581,[1]!Tabela24[Código consultor],[1]!Tabela24[Canal Consultor],0,0,1)</f>
        <v>PAR</v>
      </c>
      <c r="G1581" s="10" t="str">
        <f>_xlfn.XLOOKUP(B1581,[1]!Tabela1[[Cidades ]],[1]!Tabela1[Regional],0,0,1)</f>
        <v>Magno</v>
      </c>
      <c r="H1581" s="13" t="str">
        <f>_xlfn.XLOOKUP(B1581,[1]!Tabela1[[Cidades ]],[1]!Tabela1[Gerente],0,0,1)</f>
        <v>Demais coordenadores</v>
      </c>
    </row>
    <row r="1582" spans="1:8" x14ac:dyDescent="0.3">
      <c r="A1582" s="4" t="s">
        <v>1676</v>
      </c>
      <c r="B1582" s="5" t="s">
        <v>34</v>
      </c>
      <c r="C1582" s="6">
        <v>45840</v>
      </c>
      <c r="D1582" s="7">
        <v>780589</v>
      </c>
      <c r="E1582" s="5" t="str">
        <f>_xlfn.XLOOKUP(D1582,[1]!Tabela24[Código consultor],[1]!Tabela24[Consultor Venda],0,0,1)</f>
        <v>COM - ERE - FABIANI RIBEIRO DA SILVA</v>
      </c>
      <c r="F1582" s="5" t="str">
        <f>_xlfn.XLOOKUP(D1582,[1]!Tabela24[Código consultor],[1]!Tabela24[Canal Consultor],0,0,1)</f>
        <v>Pap</v>
      </c>
      <c r="G1582" s="5" t="str">
        <f>_xlfn.XLOOKUP(B1582,[1]!Tabela1[[Cidades ]],[1]!Tabela1[Regional],0,0,1)</f>
        <v>Alisson</v>
      </c>
      <c r="H1582" s="8" t="str">
        <f>_xlfn.XLOOKUP(B1582,[1]!Tabela1[[Cidades ]],[1]!Tabela1[Gerente],0,0,1)</f>
        <v>Karine</v>
      </c>
    </row>
    <row r="1583" spans="1:8" x14ac:dyDescent="0.3">
      <c r="A1583" s="9" t="s">
        <v>1677</v>
      </c>
      <c r="B1583" s="10" t="s">
        <v>22</v>
      </c>
      <c r="C1583" s="11">
        <v>45840</v>
      </c>
      <c r="D1583" s="12">
        <v>884801</v>
      </c>
      <c r="E1583" s="5" t="str">
        <f>_xlfn.XLOOKUP(D1583,[1]!Tabela24[Código consultor],[1]!Tabela24[Consultor Venda],0,0,1)</f>
        <v>COM - SCR - JOAO UALISON DOS SANTOS SIMIANER</v>
      </c>
      <c r="F1583" s="5" t="str">
        <f>_xlfn.XLOOKUP(D1583,[1]!Tabela24[Código consultor],[1]!Tabela24[Canal Consultor],0,0,1)</f>
        <v>INTERNO</v>
      </c>
      <c r="G1583" s="10" t="str">
        <f>_xlfn.XLOOKUP(B1583,[1]!Tabela1[[Cidades ]],[1]!Tabela1[Regional],0,0,1)</f>
        <v>Magno</v>
      </c>
      <c r="H1583" s="13" t="str">
        <f>_xlfn.XLOOKUP(B1583,[1]!Tabela1[[Cidades ]],[1]!Tabela1[Gerente],0,0,1)</f>
        <v>Demais coordenadores</v>
      </c>
    </row>
    <row r="1584" spans="1:8" x14ac:dyDescent="0.3">
      <c r="A1584" s="4" t="s">
        <v>1678</v>
      </c>
      <c r="B1584" s="5" t="s">
        <v>28</v>
      </c>
      <c r="C1584" s="6">
        <v>45840</v>
      </c>
      <c r="D1584" s="7">
        <v>237623</v>
      </c>
      <c r="E1584" s="5" t="str">
        <f>_xlfn.XLOOKUP(D1584,[1]!Tabela24[Código consultor],[1]!Tabela24[Consultor Venda],0,0,1)</f>
        <v>COM - LJO - VITORIA CAROLINE BALDEZ ROSSALES</v>
      </c>
      <c r="F1584" s="5" t="str">
        <f>_xlfn.XLOOKUP(D1584,[1]!Tabela24[Código consultor],[1]!Tabela24[Canal Consultor],0,0,1)</f>
        <v>Pap</v>
      </c>
      <c r="G1584" s="5" t="str">
        <f>_xlfn.XLOOKUP(B1584,[1]!Tabela1[[Cidades ]],[1]!Tabela1[Regional],0,0,1)</f>
        <v>Magno</v>
      </c>
      <c r="H1584" s="8" t="str">
        <f>_xlfn.XLOOKUP(B1584,[1]!Tabela1[[Cidades ]],[1]!Tabela1[Gerente],0,0,1)</f>
        <v>Demais coordenadores</v>
      </c>
    </row>
    <row r="1585" spans="1:8" x14ac:dyDescent="0.3">
      <c r="A1585" s="9" t="s">
        <v>1679</v>
      </c>
      <c r="B1585" s="10" t="s">
        <v>12</v>
      </c>
      <c r="C1585" s="11">
        <v>45840</v>
      </c>
      <c r="D1585" s="12">
        <v>236724</v>
      </c>
      <c r="E1585" s="5" t="str">
        <f>_xlfn.XLOOKUP(D1585,[1]!Tabela24[Código consultor],[1]!Tabela24[Consultor Venda],0,0,1)</f>
        <v>COM - PGO - MAISE GABRIELLY BATISTA</v>
      </c>
      <c r="F1585" s="5" t="str">
        <f>_xlfn.XLOOKUP(D1585,[1]!Tabela24[Código consultor],[1]!Tabela24[Canal Consultor],0,0,1)</f>
        <v>INTERNO</v>
      </c>
      <c r="G1585" s="10" t="str">
        <f>_xlfn.XLOOKUP(B1585,[1]!Tabela1[[Cidades ]],[1]!Tabela1[Regional],0,0,1)</f>
        <v>Jean</v>
      </c>
      <c r="H1585" s="13" t="str">
        <f>_xlfn.XLOOKUP(B1585,[1]!Tabela1[[Cidades ]],[1]!Tabela1[Gerente],0,0,1)</f>
        <v>Demais coordenadores</v>
      </c>
    </row>
    <row r="1586" spans="1:8" x14ac:dyDescent="0.3">
      <c r="A1586" s="4" t="s">
        <v>1680</v>
      </c>
      <c r="B1586" s="5" t="s">
        <v>51</v>
      </c>
      <c r="C1586" s="6">
        <v>45840</v>
      </c>
      <c r="D1586" s="7">
        <v>404528</v>
      </c>
      <c r="E1586" s="5" t="str">
        <f>_xlfn.XLOOKUP(D1586,[1]!Tabela24[Código consultor],[1]!Tabela24[Consultor Venda],0,0,1)</f>
        <v>COM - ERE - PATRICIA LAUTERT PIOTROWSKY</v>
      </c>
      <c r="F1586" s="5" t="str">
        <f>_xlfn.XLOOKUP(D1586,[1]!Tabela24[Código consultor],[1]!Tabela24[Canal Consultor],0,0,1)</f>
        <v>INTERNO</v>
      </c>
      <c r="G1586" s="5" t="str">
        <f>_xlfn.XLOOKUP(B1586,[1]!Tabela1[[Cidades ]],[1]!Tabela1[Regional],0,0,1)</f>
        <v>Alisson</v>
      </c>
      <c r="H1586" s="8" t="str">
        <f>_xlfn.XLOOKUP(B1586,[1]!Tabela1[[Cidades ]],[1]!Tabela1[Gerente],0,0,1)</f>
        <v>Ariana</v>
      </c>
    </row>
    <row r="1587" spans="1:8" x14ac:dyDescent="0.3">
      <c r="A1587" s="9" t="s">
        <v>1681</v>
      </c>
      <c r="B1587" s="10" t="s">
        <v>30</v>
      </c>
      <c r="C1587" s="11">
        <v>45840</v>
      </c>
      <c r="D1587" s="12">
        <v>883827</v>
      </c>
      <c r="E1587" s="5" t="str">
        <f>_xlfn.XLOOKUP(D1587,[1]!Tabela24[Código consultor],[1]!Tabela24[Consultor Venda],0,0,1)</f>
        <v>COM - IGA - YASMIN NAYARA DE ALMEIDA SILVA</v>
      </c>
      <c r="F1587" s="5" t="str">
        <f>_xlfn.XLOOKUP(D1587,[1]!Tabela24[Código consultor],[1]!Tabela24[Canal Consultor],0,0,1)</f>
        <v>Pap</v>
      </c>
      <c r="G1587" s="10" t="str">
        <f>_xlfn.XLOOKUP(B1587,[1]!Tabela1[[Cidades ]],[1]!Tabela1[Regional],0,0,1)</f>
        <v>Jean</v>
      </c>
      <c r="H1587" s="13" t="str">
        <f>_xlfn.XLOOKUP(B1587,[1]!Tabela1[[Cidades ]],[1]!Tabela1[Gerente],0,0,1)</f>
        <v>Demais coordenadores</v>
      </c>
    </row>
    <row r="1588" spans="1:8" x14ac:dyDescent="0.3">
      <c r="A1588" s="4" t="s">
        <v>1682</v>
      </c>
      <c r="B1588" s="5" t="s">
        <v>31</v>
      </c>
      <c r="C1588" s="6">
        <v>45840</v>
      </c>
      <c r="D1588" s="7">
        <v>600710</v>
      </c>
      <c r="E1588" s="5" t="str">
        <f>_xlfn.XLOOKUP(D1588,[1]!Tabela24[Código consultor],[1]!Tabela24[Consultor Venda],0,0,1)</f>
        <v>DIG - CCO - BRUNA BALBINOTTI</v>
      </c>
      <c r="F1588" s="5" t="str">
        <f>_xlfn.XLOOKUP(D1588,[1]!Tabela24[Código consultor],[1]!Tabela24[Canal Consultor],0,0,1)</f>
        <v>DIGITAL</v>
      </c>
      <c r="G1588" s="5" t="str">
        <f>_xlfn.XLOOKUP(B1588,[1]!Tabela1[[Cidades ]],[1]!Tabela1[Regional],0,0,1)</f>
        <v>Maycon</v>
      </c>
      <c r="H1588" s="8" t="str">
        <f>_xlfn.XLOOKUP(B1588,[1]!Tabela1[[Cidades ]],[1]!Tabela1[Gerente],0,0,1)</f>
        <v>Demais coordenadores</v>
      </c>
    </row>
    <row r="1589" spans="1:8" x14ac:dyDescent="0.3">
      <c r="A1589" s="9" t="s">
        <v>1683</v>
      </c>
      <c r="B1589" s="10" t="s">
        <v>97</v>
      </c>
      <c r="C1589" s="11">
        <v>45840</v>
      </c>
      <c r="D1589" s="12">
        <v>884826</v>
      </c>
      <c r="E1589" s="5">
        <f>_xlfn.XLOOKUP(D1589,[1]!Tabela24[Código consultor],[1]!Tabela24[Consultor Venda],0,0,1)</f>
        <v>0</v>
      </c>
      <c r="F1589" s="5">
        <f>_xlfn.XLOOKUP(D1589,[1]!Tabela24[Código consultor],[1]!Tabela24[Canal Consultor],0,0,1)</f>
        <v>0</v>
      </c>
      <c r="G1589" s="10" t="str">
        <f>_xlfn.XLOOKUP(B1589,[1]!Tabela1[[Cidades ]],[1]!Tabela1[Regional],0,0,1)</f>
        <v>Alisson</v>
      </c>
      <c r="H1589" s="13" t="str">
        <f>_xlfn.XLOOKUP(B1589,[1]!Tabela1[[Cidades ]],[1]!Tabela1[Gerente],0,0,1)</f>
        <v>Helena</v>
      </c>
    </row>
    <row r="1590" spans="1:8" x14ac:dyDescent="0.3">
      <c r="A1590" s="4" t="s">
        <v>1684</v>
      </c>
      <c r="B1590" s="5" t="s">
        <v>58</v>
      </c>
      <c r="C1590" s="6">
        <v>45840</v>
      </c>
      <c r="D1590" s="7">
        <v>336158</v>
      </c>
      <c r="E1590" s="5" t="str">
        <f>_xlfn.XLOOKUP(D1590,[1]!Tabela24[Código consultor],[1]!Tabela24[Consultor Venda],0,0,1)</f>
        <v>COM- TOO - MARISA MENDES DE NEVES</v>
      </c>
      <c r="F1590" s="5" t="str">
        <f>_xlfn.XLOOKUP(D1590,[1]!Tabela24[Código consultor],[1]!Tabela24[Canal Consultor],0,0,1)</f>
        <v>INTERNO</v>
      </c>
      <c r="G1590" s="5" t="str">
        <f>_xlfn.XLOOKUP(B1590,[1]!Tabela1[[Cidades ]],[1]!Tabela1[Regional],0,0,1)</f>
        <v>Adilson</v>
      </c>
      <c r="H1590" s="8" t="str">
        <f>_xlfn.XLOOKUP(B1590,[1]!Tabela1[[Cidades ]],[1]!Tabela1[Gerente],0,0,1)</f>
        <v>Demais coordenadores</v>
      </c>
    </row>
    <row r="1591" spans="1:8" x14ac:dyDescent="0.3">
      <c r="A1591" s="9" t="s">
        <v>202</v>
      </c>
      <c r="B1591" s="10" t="s">
        <v>101</v>
      </c>
      <c r="C1591" s="11">
        <v>45840</v>
      </c>
      <c r="D1591" s="12">
        <v>694166</v>
      </c>
      <c r="E1591" s="5" t="str">
        <f>_xlfn.XLOOKUP(D1591,[1]!Tabela24[Código consultor],[1]!Tabela24[Consultor Venda],0,0,1)</f>
        <v>DIG - CCO - CARINE CORREA SOARES</v>
      </c>
      <c r="F1591" s="5" t="str">
        <f>_xlfn.XLOOKUP(D1591,[1]!Tabela24[Código consultor],[1]!Tabela24[Canal Consultor],0,0,1)</f>
        <v>DIGITAL</v>
      </c>
      <c r="G1591" s="10" t="str">
        <f>_xlfn.XLOOKUP(B1591,[1]!Tabela1[[Cidades ]],[1]!Tabela1[Regional],0,0,1)</f>
        <v>Maycon</v>
      </c>
      <c r="H1591" s="13" t="str">
        <f>_xlfn.XLOOKUP(B1591,[1]!Tabela1[[Cidades ]],[1]!Tabela1[Gerente],0,0,1)</f>
        <v>Demais coordenadores</v>
      </c>
    </row>
    <row r="1592" spans="1:8" x14ac:dyDescent="0.3">
      <c r="A1592" s="4" t="s">
        <v>1685</v>
      </c>
      <c r="B1592" s="5" t="s">
        <v>38</v>
      </c>
      <c r="C1592" s="6">
        <v>45840</v>
      </c>
      <c r="D1592" s="7">
        <v>813618</v>
      </c>
      <c r="E1592" s="5" t="str">
        <f>_xlfn.XLOOKUP(D1592,[1]!Tabela24[Código consultor],[1]!Tabela24[Consultor Venda],0,0,1)</f>
        <v>COM - TEB - MARCIA CRISTINA MARIANO</v>
      </c>
      <c r="F1592" s="5" t="str">
        <f>_xlfn.XLOOKUP(D1592,[1]!Tabela24[Código consultor],[1]!Tabela24[Canal Consultor],0,0,1)</f>
        <v>Pap</v>
      </c>
      <c r="G1592" s="5" t="str">
        <f>_xlfn.XLOOKUP(B1592,[1]!Tabela1[[Cidades ]],[1]!Tabela1[Regional],0,0,1)</f>
        <v>Jean</v>
      </c>
      <c r="H1592" s="8" t="str">
        <f>_xlfn.XLOOKUP(B1592,[1]!Tabela1[[Cidades ]],[1]!Tabela1[Gerente],0,0,1)</f>
        <v>Demais coordenadores</v>
      </c>
    </row>
    <row r="1593" spans="1:8" x14ac:dyDescent="0.3">
      <c r="A1593" s="9" t="s">
        <v>1686</v>
      </c>
      <c r="B1593" s="10" t="s">
        <v>32</v>
      </c>
      <c r="C1593" s="11">
        <v>45840</v>
      </c>
      <c r="D1593" s="12">
        <v>885453</v>
      </c>
      <c r="E1593" s="5" t="str">
        <f>_xlfn.XLOOKUP(D1593,[1]!Tabela24[Código consultor],[1]!Tabela24[Consultor Venda],0,0,1)</f>
        <v>COM - IGA - EMILY PRISCILA BRAZ VIANA</v>
      </c>
      <c r="F1593" s="5" t="str">
        <f>_xlfn.XLOOKUP(D1593,[1]!Tabela24[Código consultor],[1]!Tabela24[Canal Consultor],0,0,1)</f>
        <v>Pap</v>
      </c>
      <c r="G1593" s="10" t="str">
        <f>_xlfn.XLOOKUP(B1593,[1]!Tabela1[[Cidades ]],[1]!Tabela1[Regional],0,0,1)</f>
        <v>Jean</v>
      </c>
      <c r="H1593" s="13" t="str">
        <f>_xlfn.XLOOKUP(B1593,[1]!Tabela1[[Cidades ]],[1]!Tabela1[Gerente],0,0,1)</f>
        <v>Demais coordenadores</v>
      </c>
    </row>
    <row r="1594" spans="1:8" x14ac:dyDescent="0.3">
      <c r="A1594" s="4" t="s">
        <v>1687</v>
      </c>
      <c r="B1594" s="5" t="s">
        <v>19</v>
      </c>
      <c r="C1594" s="6">
        <v>45840</v>
      </c>
      <c r="D1594" s="7">
        <v>165769</v>
      </c>
      <c r="E1594" s="5" t="str">
        <f>_xlfn.XLOOKUP(D1594,[1]!Tabela24[Código consultor],[1]!Tabela24[Consultor Venda],0,0,1)</f>
        <v>PAR - PAP - GTI - THALIA SP - THALIA DA SILVA PEREIRA</v>
      </c>
      <c r="F1594" s="5" t="str">
        <f>_xlfn.XLOOKUP(D1594,[1]!Tabela24[Código consultor],[1]!Tabela24[Canal Consultor],0,0,1)</f>
        <v>PAR</v>
      </c>
      <c r="G1594" s="5" t="str">
        <f>_xlfn.XLOOKUP(B1594,[1]!Tabela1[[Cidades ]],[1]!Tabela1[Regional],0,0,1)</f>
        <v>Magno</v>
      </c>
      <c r="H1594" s="8" t="str">
        <f>_xlfn.XLOOKUP(B1594,[1]!Tabela1[[Cidades ]],[1]!Tabela1[Gerente],0,0,1)</f>
        <v>Demais coordenadores</v>
      </c>
    </row>
    <row r="1595" spans="1:8" x14ac:dyDescent="0.3">
      <c r="A1595" s="9" t="s">
        <v>1688</v>
      </c>
      <c r="B1595" s="10" t="s">
        <v>88</v>
      </c>
      <c r="C1595" s="11">
        <v>45840</v>
      </c>
      <c r="D1595" s="12">
        <v>165769</v>
      </c>
      <c r="E1595" s="5" t="str">
        <f>_xlfn.XLOOKUP(D1595,[1]!Tabela24[Código consultor],[1]!Tabela24[Consultor Venda],0,0,1)</f>
        <v>PAR - PAP - GTI - THALIA SP - THALIA DA SILVA PEREIRA</v>
      </c>
      <c r="F1595" s="5" t="str">
        <f>_xlfn.XLOOKUP(D1595,[1]!Tabela24[Código consultor],[1]!Tabela24[Canal Consultor],0,0,1)</f>
        <v>PAR</v>
      </c>
      <c r="G1595" s="10" t="str">
        <f>_xlfn.XLOOKUP(B1595,[1]!Tabela1[[Cidades ]],[1]!Tabela1[Regional],0,0,1)</f>
        <v>Marcio</v>
      </c>
      <c r="H1595" s="13" t="str">
        <f>_xlfn.XLOOKUP(B1595,[1]!Tabela1[[Cidades ]],[1]!Tabela1[Gerente],0,0,1)</f>
        <v>Demais coordenadores</v>
      </c>
    </row>
    <row r="1596" spans="1:8" x14ac:dyDescent="0.3">
      <c r="A1596" s="4" t="s">
        <v>1689</v>
      </c>
      <c r="B1596" s="5" t="s">
        <v>45</v>
      </c>
      <c r="C1596" s="6">
        <v>45840</v>
      </c>
      <c r="D1596" s="7">
        <v>822704</v>
      </c>
      <c r="E1596" s="5" t="str">
        <f>_xlfn.XLOOKUP(D1596,[1]!Tabela24[Código consultor],[1]!Tabela24[Consultor Venda],0,0,1)</f>
        <v>PAR - PAP - V S MONTEIRO - VINICIUS SILVA MONTEIRO</v>
      </c>
      <c r="F1596" s="5" t="str">
        <f>_xlfn.XLOOKUP(D1596,[1]!Tabela24[Código consultor],[1]!Tabela24[Canal Consultor],0,0,1)</f>
        <v>PAR</v>
      </c>
      <c r="G1596" s="5" t="str">
        <f>_xlfn.XLOOKUP(B1596,[1]!Tabela1[[Cidades ]],[1]!Tabela1[Regional],0,0,1)</f>
        <v>Jean</v>
      </c>
      <c r="H1596" s="8" t="str">
        <f>_xlfn.XLOOKUP(B1596,[1]!Tabela1[[Cidades ]],[1]!Tabela1[Gerente],0,0,1)</f>
        <v>Demais coordenadores</v>
      </c>
    </row>
    <row r="1597" spans="1:8" x14ac:dyDescent="0.3">
      <c r="A1597" s="9" t="s">
        <v>1690</v>
      </c>
      <c r="B1597" s="10" t="s">
        <v>15</v>
      </c>
      <c r="C1597" s="11">
        <v>45840</v>
      </c>
      <c r="D1597" s="12">
        <v>878856</v>
      </c>
      <c r="E1597" s="5" t="str">
        <f>_xlfn.XLOOKUP(D1597,[1]!Tabela24[Código consultor],[1]!Tabela24[Consultor Venda],0,0,1)</f>
        <v>COM - NVG - CAMILLA MORTON FREIER</v>
      </c>
      <c r="F1597" s="5" t="str">
        <f>_xlfn.XLOOKUP(D1597,[1]!Tabela24[Código consultor],[1]!Tabela24[Canal Consultor],0,0,1)</f>
        <v>Pap</v>
      </c>
      <c r="G1597" s="10" t="str">
        <f>_xlfn.XLOOKUP(B1597,[1]!Tabela1[[Cidades ]],[1]!Tabela1[Regional],0,0,1)</f>
        <v>Marcio</v>
      </c>
      <c r="H1597" s="13" t="str">
        <f>_xlfn.XLOOKUP(B1597,[1]!Tabela1[[Cidades ]],[1]!Tabela1[Gerente],0,0,1)</f>
        <v>Demais coordenadores</v>
      </c>
    </row>
    <row r="1598" spans="1:8" x14ac:dyDescent="0.3">
      <c r="A1598" s="4" t="s">
        <v>1691</v>
      </c>
      <c r="B1598" s="5" t="s">
        <v>53</v>
      </c>
      <c r="C1598" s="6">
        <v>45840</v>
      </c>
      <c r="D1598" s="7">
        <v>870487</v>
      </c>
      <c r="E1598" s="5" t="str">
        <f>_xlfn.XLOOKUP(D1598,[1]!Tabela24[Código consultor],[1]!Tabela24[Consultor Venda],0,0,1)</f>
        <v>PAR - COM - DOS - JK SERVIÇOS - JEAN CARLOS TELES DE ANDRADE</v>
      </c>
      <c r="F1598" s="5" t="str">
        <f>_xlfn.XLOOKUP(D1598,[1]!Tabela24[Código consultor],[1]!Tabela24[Canal Consultor],0,0,1)</f>
        <v>PAR</v>
      </c>
      <c r="G1598" s="5" t="str">
        <f>_xlfn.XLOOKUP(B1598,[1]!Tabela1[[Cidades ]],[1]!Tabela1[Regional],0,0,1)</f>
        <v>Adilson</v>
      </c>
      <c r="H1598" s="8" t="str">
        <f>_xlfn.XLOOKUP(B1598,[1]!Tabela1[[Cidades ]],[1]!Tabela1[Gerente],0,0,1)</f>
        <v>Demais coordenadores</v>
      </c>
    </row>
    <row r="1599" spans="1:8" x14ac:dyDescent="0.3">
      <c r="A1599" s="9" t="s">
        <v>1692</v>
      </c>
      <c r="B1599" s="10" t="s">
        <v>59</v>
      </c>
      <c r="C1599" s="11">
        <v>45840</v>
      </c>
      <c r="D1599" s="12">
        <v>837937</v>
      </c>
      <c r="E1599" s="5" t="str">
        <f>_xlfn.XLOOKUP(D1599,[1]!Tabela24[Código consultor],[1]!Tabela24[Consultor Venda],0,0,1)</f>
        <v>COM - UMR - NAUMI DOS SANTOS DOMINGUES</v>
      </c>
      <c r="F1599" s="5" t="str">
        <f>_xlfn.XLOOKUP(D1599,[1]!Tabela24[Código consultor],[1]!Tabela24[Canal Consultor],0,0,1)</f>
        <v>INTERNO</v>
      </c>
      <c r="G1599" s="10" t="str">
        <f>_xlfn.XLOOKUP(B1599,[1]!Tabela1[[Cidades ]],[1]!Tabela1[Regional],0,0,1)</f>
        <v>Adilson</v>
      </c>
      <c r="H1599" s="13" t="str">
        <f>_xlfn.XLOOKUP(B1599,[1]!Tabela1[[Cidades ]],[1]!Tabela1[Gerente],0,0,1)</f>
        <v>Demais coordenadores</v>
      </c>
    </row>
    <row r="1600" spans="1:8" x14ac:dyDescent="0.3">
      <c r="A1600" s="4" t="s">
        <v>1693</v>
      </c>
      <c r="B1600" s="5" t="s">
        <v>30</v>
      </c>
      <c r="C1600" s="6">
        <v>45840</v>
      </c>
      <c r="D1600" s="7">
        <v>883823</v>
      </c>
      <c r="E1600" s="5" t="str">
        <f>_xlfn.XLOOKUP(D1600,[1]!Tabela24[Código consultor],[1]!Tabela24[Consultor Venda],0,0,1)</f>
        <v>COM - IGA - KARINA CRISTINA SOARES CARDOSO</v>
      </c>
      <c r="F1600" s="5" t="str">
        <f>_xlfn.XLOOKUP(D1600,[1]!Tabela24[Código consultor],[1]!Tabela24[Canal Consultor],0,0,1)</f>
        <v>INTERNO</v>
      </c>
      <c r="G1600" s="5" t="str">
        <f>_xlfn.XLOOKUP(B1600,[1]!Tabela1[[Cidades ]],[1]!Tabela1[Regional],0,0,1)</f>
        <v>Jean</v>
      </c>
      <c r="H1600" s="8" t="str">
        <f>_xlfn.XLOOKUP(B1600,[1]!Tabela1[[Cidades ]],[1]!Tabela1[Gerente],0,0,1)</f>
        <v>Demais coordenadores</v>
      </c>
    </row>
    <row r="1601" spans="1:8" x14ac:dyDescent="0.3">
      <c r="A1601" s="9" t="s">
        <v>1694</v>
      </c>
      <c r="B1601" s="10" t="s">
        <v>85</v>
      </c>
      <c r="C1601" s="11">
        <v>45840</v>
      </c>
      <c r="D1601" s="12">
        <v>815852</v>
      </c>
      <c r="E1601" s="5" t="str">
        <f>_xlfn.XLOOKUP(D1601,[1]!Tabela24[Código consultor],[1]!Tabela24[Consultor Venda],0,0,1)</f>
        <v>COM - CNP - NAIARA BORGES DROSS</v>
      </c>
      <c r="F1601" s="5" t="str">
        <f>_xlfn.XLOOKUP(D1601,[1]!Tabela24[Código consultor],[1]!Tabela24[Canal Consultor],0,0,1)</f>
        <v>INTERNO</v>
      </c>
      <c r="G1601" s="10" t="str">
        <f>_xlfn.XLOOKUP(B1601,[1]!Tabela1[[Cidades ]],[1]!Tabela1[Regional],0,0,1)</f>
        <v>Maycon</v>
      </c>
      <c r="H1601" s="13" t="str">
        <f>_xlfn.XLOOKUP(B1601,[1]!Tabela1[[Cidades ]],[1]!Tabela1[Gerente],0,0,1)</f>
        <v>Demais coordenadores</v>
      </c>
    </row>
    <row r="1602" spans="1:8" x14ac:dyDescent="0.3">
      <c r="A1602" s="4" t="s">
        <v>1695</v>
      </c>
      <c r="B1602" s="5" t="s">
        <v>24</v>
      </c>
      <c r="C1602" s="6">
        <v>45840</v>
      </c>
      <c r="D1602" s="7">
        <v>870012</v>
      </c>
      <c r="E1602" s="5" t="str">
        <f>_xlfn.XLOOKUP(D1602,[1]!Tabela24[Código consultor],[1]!Tabela24[Consultor Venda],0,0,1)</f>
        <v>COM - SMA - LUIZ EDUARDO DOS SANTOS LOPES COLLARES</v>
      </c>
      <c r="F1602" s="5" t="str">
        <f>_xlfn.XLOOKUP(D1602,[1]!Tabela24[Código consultor],[1]!Tabela24[Canal Consultor],0,0,1)</f>
        <v>Pap</v>
      </c>
      <c r="G1602" s="5" t="str">
        <f>_xlfn.XLOOKUP(B1602,[1]!Tabela1[[Cidades ]],[1]!Tabela1[Regional],0,0,1)</f>
        <v>Magno</v>
      </c>
      <c r="H1602" s="8" t="str">
        <f>_xlfn.XLOOKUP(B1602,[1]!Tabela1[[Cidades ]],[1]!Tabela1[Gerente],0,0,1)</f>
        <v>Demais coordenadores</v>
      </c>
    </row>
    <row r="1603" spans="1:8" x14ac:dyDescent="0.3">
      <c r="A1603" s="9" t="s">
        <v>1696</v>
      </c>
      <c r="B1603" s="10" t="s">
        <v>10</v>
      </c>
      <c r="C1603" s="11">
        <v>45840</v>
      </c>
      <c r="D1603" s="12">
        <v>562578</v>
      </c>
      <c r="E1603" s="5" t="str">
        <f>_xlfn.XLOOKUP(D1603,[1]!Tabela24[Código consultor],[1]!Tabela24[Consultor Venda],0,0,1)</f>
        <v>PAR - GRP - COM - MOBILE - JOANA ISABELA DILGER</v>
      </c>
      <c r="F1603" s="5" t="str">
        <f>_xlfn.XLOOKUP(D1603,[1]!Tabela24[Código consultor],[1]!Tabela24[Canal Consultor],0,0,1)</f>
        <v>par</v>
      </c>
      <c r="G1603" s="10" t="str">
        <f>_xlfn.XLOOKUP(B1603,[1]!Tabela1[[Cidades ]],[1]!Tabela1[Regional],0,0,1)</f>
        <v>Jean</v>
      </c>
      <c r="H1603" s="13" t="str">
        <f>_xlfn.XLOOKUP(B1603,[1]!Tabela1[[Cidades ]],[1]!Tabela1[Gerente],0,0,1)</f>
        <v>Demais coordenadores</v>
      </c>
    </row>
    <row r="1604" spans="1:8" x14ac:dyDescent="0.3">
      <c r="A1604" s="4" t="s">
        <v>1697</v>
      </c>
      <c r="B1604" s="5" t="s">
        <v>28</v>
      </c>
      <c r="C1604" s="6">
        <v>45840</v>
      </c>
      <c r="D1604" s="7">
        <v>547683</v>
      </c>
      <c r="E1604" s="5" t="str">
        <f>_xlfn.XLOOKUP(D1604,[1]!Tabela24[Código consultor],[1]!Tabela24[Consultor Venda],0,0,1)</f>
        <v>COM - LJO - JOAO PAULO DA SILVA SANTOS</v>
      </c>
      <c r="F1604" s="5" t="str">
        <f>_xlfn.XLOOKUP(D1604,[1]!Tabela24[Código consultor],[1]!Tabela24[Canal Consultor],0,0,1)</f>
        <v>Pap</v>
      </c>
      <c r="G1604" s="5" t="str">
        <f>_xlfn.XLOOKUP(B1604,[1]!Tabela1[[Cidades ]],[1]!Tabela1[Regional],0,0,1)</f>
        <v>Magno</v>
      </c>
      <c r="H1604" s="8" t="str">
        <f>_xlfn.XLOOKUP(B1604,[1]!Tabela1[[Cidades ]],[1]!Tabela1[Gerente],0,0,1)</f>
        <v>Demais coordenadores</v>
      </c>
    </row>
    <row r="1605" spans="1:8" x14ac:dyDescent="0.3">
      <c r="A1605" s="9" t="s">
        <v>1698</v>
      </c>
      <c r="B1605" s="10" t="s">
        <v>46</v>
      </c>
      <c r="C1605" s="11">
        <v>45840</v>
      </c>
      <c r="D1605" s="12">
        <v>864113</v>
      </c>
      <c r="E1605" s="5" t="str">
        <f>_xlfn.XLOOKUP(D1605,[1]!Tabela24[Código consultor],[1]!Tabela24[Consultor Venda],0,0,1)</f>
        <v>COM - BGV - ELISA LUDIMILA MORAES DE LIMA</v>
      </c>
      <c r="F1605" s="5" t="str">
        <f>_xlfn.XLOOKUP(D1605,[1]!Tabela24[Código consultor],[1]!Tabela24[Canal Consultor],0,0,1)</f>
        <v>INTERNO</v>
      </c>
      <c r="G1605" s="10" t="str">
        <f>_xlfn.XLOOKUP(B1605,[1]!Tabela1[[Cidades ]],[1]!Tabela1[Regional],0,0,1)</f>
        <v>Magno</v>
      </c>
      <c r="H1605" s="13" t="str">
        <f>_xlfn.XLOOKUP(B1605,[1]!Tabela1[[Cidades ]],[1]!Tabela1[Gerente],0,0,1)</f>
        <v>Demais coordenadores</v>
      </c>
    </row>
    <row r="1606" spans="1:8" x14ac:dyDescent="0.3">
      <c r="A1606" s="4" t="s">
        <v>1699</v>
      </c>
      <c r="B1606" s="5" t="s">
        <v>11</v>
      </c>
      <c r="C1606" s="6">
        <v>45840</v>
      </c>
      <c r="D1606" s="7">
        <v>794227</v>
      </c>
      <c r="E1606" s="5" t="str">
        <f>_xlfn.XLOOKUP(D1606,[1]!Tabela24[Código consultor],[1]!Tabela24[Consultor Venda],0,0,1)</f>
        <v>PAR - PAP - TECH PERFORMANCE - Dario de Oliveira</v>
      </c>
      <c r="F1606" s="5" t="str">
        <f>_xlfn.XLOOKUP(D1606,[1]!Tabela24[Código consultor],[1]!Tabela24[Canal Consultor],0,0,1)</f>
        <v>Par</v>
      </c>
      <c r="G1606" s="5" t="str">
        <f>_xlfn.XLOOKUP(B1606,[1]!Tabela1[[Cidades ]],[1]!Tabela1[Regional],0,0,1)</f>
        <v>Magno</v>
      </c>
      <c r="H1606" s="8" t="str">
        <f>_xlfn.XLOOKUP(B1606,[1]!Tabela1[[Cidades ]],[1]!Tabela1[Gerente],0,0,1)</f>
        <v>Demais coordenadores</v>
      </c>
    </row>
    <row r="1607" spans="1:8" x14ac:dyDescent="0.3">
      <c r="A1607" s="9" t="s">
        <v>1700</v>
      </c>
      <c r="B1607" s="10" t="s">
        <v>39</v>
      </c>
      <c r="C1607" s="11">
        <v>45840</v>
      </c>
      <c r="D1607" s="12">
        <v>197832</v>
      </c>
      <c r="E1607" s="5" t="str">
        <f>_xlfn.XLOOKUP(D1607,[1]!Tabela24[Código consultor],[1]!Tabela24[Consultor Venda],0,0,1)</f>
        <v>DIG - CCO - RAIANE BERGAMIN</v>
      </c>
      <c r="F1607" s="5" t="str">
        <f>_xlfn.XLOOKUP(D1607,[1]!Tabela24[Código consultor],[1]!Tabela24[Canal Consultor],0,0,1)</f>
        <v>DIGITAL</v>
      </c>
      <c r="G1607" s="10" t="str">
        <f>_xlfn.XLOOKUP(B1607,[1]!Tabela1[[Cidades ]],[1]!Tabela1[Regional],0,0,1)</f>
        <v>Marcio</v>
      </c>
      <c r="H1607" s="13" t="str">
        <f>_xlfn.XLOOKUP(B1607,[1]!Tabela1[[Cidades ]],[1]!Tabela1[Gerente],0,0,1)</f>
        <v>Demais coordenadores</v>
      </c>
    </row>
    <row r="1608" spans="1:8" x14ac:dyDescent="0.3">
      <c r="A1608" s="4" t="s">
        <v>1701</v>
      </c>
      <c r="B1608" s="5" t="s">
        <v>11</v>
      </c>
      <c r="C1608" s="6">
        <v>45840</v>
      </c>
      <c r="D1608" s="7">
        <v>861705</v>
      </c>
      <c r="E1608" s="5" t="str">
        <f>_xlfn.XLOOKUP(D1608,[1]!Tabela24[Código consultor],[1]!Tabela24[Consultor Venda],0,0,1)</f>
        <v>PAR - COM - PAP - TQR - ERIKA DE OLIVEIRA GALLE</v>
      </c>
      <c r="F1608" s="5" t="str">
        <f>_xlfn.XLOOKUP(D1608,[1]!Tabela24[Código consultor],[1]!Tabela24[Canal Consultor],0,0,1)</f>
        <v>PAR</v>
      </c>
      <c r="G1608" s="5" t="str">
        <f>_xlfn.XLOOKUP(B1608,[1]!Tabela1[[Cidades ]],[1]!Tabela1[Regional],0,0,1)</f>
        <v>Magno</v>
      </c>
      <c r="H1608" s="8" t="str">
        <f>_xlfn.XLOOKUP(B1608,[1]!Tabela1[[Cidades ]],[1]!Tabela1[Gerente],0,0,1)</f>
        <v>Demais coordenadores</v>
      </c>
    </row>
    <row r="1609" spans="1:8" x14ac:dyDescent="0.3">
      <c r="A1609" s="9" t="s">
        <v>1702</v>
      </c>
      <c r="B1609" s="10" t="s">
        <v>32</v>
      </c>
      <c r="C1609" s="11">
        <v>45840</v>
      </c>
      <c r="D1609" s="12">
        <v>829353</v>
      </c>
      <c r="E1609" s="5" t="str">
        <f>_xlfn.XLOOKUP(D1609,[1]!Tabela24[Código consultor],[1]!Tabela24[Consultor Venda],0,0,1)</f>
        <v>COM - IGA - KARL EDUARDO MORAES DE ALMEIDA</v>
      </c>
      <c r="F1609" s="5" t="str">
        <f>_xlfn.XLOOKUP(D1609,[1]!Tabela24[Código consultor],[1]!Tabela24[Canal Consultor],0,0,1)</f>
        <v>Pap</v>
      </c>
      <c r="G1609" s="10" t="str">
        <f>_xlfn.XLOOKUP(B1609,[1]!Tabela1[[Cidades ]],[1]!Tabela1[Regional],0,0,1)</f>
        <v>Jean</v>
      </c>
      <c r="H1609" s="13" t="str">
        <f>_xlfn.XLOOKUP(B1609,[1]!Tabela1[[Cidades ]],[1]!Tabela1[Gerente],0,0,1)</f>
        <v>Demais coordenadores</v>
      </c>
    </row>
    <row r="1610" spans="1:8" x14ac:dyDescent="0.3">
      <c r="A1610" s="4" t="s">
        <v>1703</v>
      </c>
      <c r="B1610" s="5" t="s">
        <v>22</v>
      </c>
      <c r="C1610" s="6">
        <v>45840</v>
      </c>
      <c r="D1610" s="7">
        <v>884801</v>
      </c>
      <c r="E1610" s="5" t="str">
        <f>_xlfn.XLOOKUP(D1610,[1]!Tabela24[Código consultor],[1]!Tabela24[Consultor Venda],0,0,1)</f>
        <v>COM - SCR - JOAO UALISON DOS SANTOS SIMIANER</v>
      </c>
      <c r="F1610" s="5" t="str">
        <f>_xlfn.XLOOKUP(D1610,[1]!Tabela24[Código consultor],[1]!Tabela24[Canal Consultor],0,0,1)</f>
        <v>INTERNO</v>
      </c>
      <c r="G1610" s="5" t="str">
        <f>_xlfn.XLOOKUP(B1610,[1]!Tabela1[[Cidades ]],[1]!Tabela1[Regional],0,0,1)</f>
        <v>Magno</v>
      </c>
      <c r="H1610" s="8" t="str">
        <f>_xlfn.XLOOKUP(B1610,[1]!Tabela1[[Cidades ]],[1]!Tabela1[Gerente],0,0,1)</f>
        <v>Demais coordenadores</v>
      </c>
    </row>
    <row r="1611" spans="1:8" x14ac:dyDescent="0.3">
      <c r="A1611" s="9" t="s">
        <v>1704</v>
      </c>
      <c r="B1611" s="10" t="s">
        <v>43</v>
      </c>
      <c r="C1611" s="11">
        <v>45840</v>
      </c>
      <c r="D1611" s="12">
        <v>40828</v>
      </c>
      <c r="E1611" s="5" t="str">
        <f>_xlfn.XLOOKUP(D1611,[1]!Tabela24[Código consultor],[1]!Tabela24[Consultor Venda],0,0,1)</f>
        <v>COM - PGO - CRISTIANE APARECIDA CHIAMULERA</v>
      </c>
      <c r="F1611" s="5" t="str">
        <f>_xlfn.XLOOKUP(D1611,[1]!Tabela24[Código consultor],[1]!Tabela24[Canal Consultor],0,0,1)</f>
        <v>Pap</v>
      </c>
      <c r="G1611" s="10" t="str">
        <f>_xlfn.XLOOKUP(B1611,[1]!Tabela1[[Cidades ]],[1]!Tabela1[Regional],0,0,1)</f>
        <v>Jean</v>
      </c>
      <c r="H1611" s="13" t="str">
        <f>_xlfn.XLOOKUP(B1611,[1]!Tabela1[[Cidades ]],[1]!Tabela1[Gerente],0,0,1)</f>
        <v>Demais coordenadores</v>
      </c>
    </row>
    <row r="1612" spans="1:8" x14ac:dyDescent="0.3">
      <c r="A1612" s="4" t="s">
        <v>1705</v>
      </c>
      <c r="B1612" s="5" t="s">
        <v>21</v>
      </c>
      <c r="C1612" s="6">
        <v>45840</v>
      </c>
      <c r="D1612" s="7">
        <v>110</v>
      </c>
      <c r="E1612" s="5" t="str">
        <f>_xlfn.XLOOKUP(D1612,[1]!Tabela24[Código consultor],[1]!Tabela24[Consultor Venda],0,0,1)</f>
        <v>PAR - INTE - STHO - JACKSON HAAS - JACKSON HAAS</v>
      </c>
      <c r="F1612" s="5" t="str">
        <f>_xlfn.XLOOKUP(D1612,[1]!Tabela24[Código consultor],[1]!Tabela24[Canal Consultor],0,0,1)</f>
        <v>PAR</v>
      </c>
      <c r="G1612" s="5" t="str">
        <f>_xlfn.XLOOKUP(B1612,[1]!Tabela1[[Cidades ]],[1]!Tabela1[Regional],0,0,1)</f>
        <v>Maycon</v>
      </c>
      <c r="H1612" s="8" t="str">
        <f>_xlfn.XLOOKUP(B1612,[1]!Tabela1[[Cidades ]],[1]!Tabela1[Gerente],0,0,1)</f>
        <v>Demais coordenadores</v>
      </c>
    </row>
    <row r="1613" spans="1:8" x14ac:dyDescent="0.3">
      <c r="A1613" s="9" t="s">
        <v>1706</v>
      </c>
      <c r="B1613" s="10" t="s">
        <v>22</v>
      </c>
      <c r="C1613" s="11">
        <v>45840</v>
      </c>
      <c r="D1613" s="12">
        <v>716615</v>
      </c>
      <c r="E1613" s="5" t="str">
        <f>_xlfn.XLOOKUP(D1613,[1]!Tabela24[Código consultor],[1]!Tabela24[Consultor Venda],0,0,1)</f>
        <v>COM - SCR - MARCO ANTONIO NUNES DOS SANTOS</v>
      </c>
      <c r="F1613" s="5" t="str">
        <f>_xlfn.XLOOKUP(D1613,[1]!Tabela24[Código consultor],[1]!Tabela24[Canal Consultor],0,0,1)</f>
        <v>Pap</v>
      </c>
      <c r="G1613" s="10" t="str">
        <f>_xlfn.XLOOKUP(B1613,[1]!Tabela1[[Cidades ]],[1]!Tabela1[Regional],0,0,1)</f>
        <v>Magno</v>
      </c>
      <c r="H1613" s="13" t="str">
        <f>_xlfn.XLOOKUP(B1613,[1]!Tabela1[[Cidades ]],[1]!Tabela1[Gerente],0,0,1)</f>
        <v>Demais coordenadores</v>
      </c>
    </row>
    <row r="1614" spans="1:8" x14ac:dyDescent="0.3">
      <c r="A1614" s="4" t="s">
        <v>1707</v>
      </c>
      <c r="B1614" s="5" t="s">
        <v>28</v>
      </c>
      <c r="C1614" s="6">
        <v>45840</v>
      </c>
      <c r="D1614" s="7">
        <v>878249</v>
      </c>
      <c r="E1614" s="5" t="str">
        <f>_xlfn.XLOOKUP(D1614,[1]!Tabela24[Código consultor],[1]!Tabela24[Consultor Venda],0,0,1)</f>
        <v>COM - LJO - ELTON RODRIGO DA SILVA GONCALVES</v>
      </c>
      <c r="F1614" s="5" t="str">
        <f>_xlfn.XLOOKUP(D1614,[1]!Tabela24[Código consultor],[1]!Tabela24[Canal Consultor],0,0,1)</f>
        <v>Pap</v>
      </c>
      <c r="G1614" s="5" t="str">
        <f>_xlfn.XLOOKUP(B1614,[1]!Tabela1[[Cidades ]],[1]!Tabela1[Regional],0,0,1)</f>
        <v>Magno</v>
      </c>
      <c r="H1614" s="8" t="str">
        <f>_xlfn.XLOOKUP(B1614,[1]!Tabela1[[Cidades ]],[1]!Tabela1[Gerente],0,0,1)</f>
        <v>Demais coordenadores</v>
      </c>
    </row>
    <row r="1615" spans="1:8" x14ac:dyDescent="0.3">
      <c r="A1615" s="9" t="s">
        <v>1708</v>
      </c>
      <c r="B1615" s="10" t="s">
        <v>12</v>
      </c>
      <c r="C1615" s="11">
        <v>45840</v>
      </c>
      <c r="D1615" s="12">
        <v>233138</v>
      </c>
      <c r="E1615" s="5" t="str">
        <f>_xlfn.XLOOKUP(D1615,[1]!Tabela24[Código consultor],[1]!Tabela24[Consultor Venda],0,0,1)</f>
        <v>PAR - INTE - GRP - MOBILE HD - ALINE KARNOSKI</v>
      </c>
      <c r="F1615" s="5" t="str">
        <f>_xlfn.XLOOKUP(D1615,[1]!Tabela24[Código consultor],[1]!Tabela24[Canal Consultor],0,0,1)</f>
        <v>PAR</v>
      </c>
      <c r="G1615" s="10" t="str">
        <f>_xlfn.XLOOKUP(B1615,[1]!Tabela1[[Cidades ]],[1]!Tabela1[Regional],0,0,1)</f>
        <v>Jean</v>
      </c>
      <c r="H1615" s="13" t="str">
        <f>_xlfn.XLOOKUP(B1615,[1]!Tabela1[[Cidades ]],[1]!Tabela1[Gerente],0,0,1)</f>
        <v>Demais coordenadores</v>
      </c>
    </row>
    <row r="1616" spans="1:8" x14ac:dyDescent="0.3">
      <c r="A1616" s="4" t="s">
        <v>1709</v>
      </c>
      <c r="B1616" s="5" t="s">
        <v>31</v>
      </c>
      <c r="C1616" s="6">
        <v>45840</v>
      </c>
      <c r="D1616" s="7">
        <v>706513</v>
      </c>
      <c r="E1616" s="5" t="str">
        <f>_xlfn.XLOOKUP(D1616,[1]!Tabela24[Código consultor],[1]!Tabela24[Consultor Venda],0,0,1)</f>
        <v>COM - CCO - KETLYN MARINS</v>
      </c>
      <c r="F1616" s="5" t="str">
        <f>_xlfn.XLOOKUP(D1616,[1]!Tabela24[Código consultor],[1]!Tabela24[Canal Consultor],0,0,1)</f>
        <v>INTERNO</v>
      </c>
      <c r="G1616" s="5" t="str">
        <f>_xlfn.XLOOKUP(B1616,[1]!Tabela1[[Cidades ]],[1]!Tabela1[Regional],0,0,1)</f>
        <v>Maycon</v>
      </c>
      <c r="H1616" s="8" t="str">
        <f>_xlfn.XLOOKUP(B1616,[1]!Tabela1[[Cidades ]],[1]!Tabela1[Gerente],0,0,1)</f>
        <v>Demais coordenadores</v>
      </c>
    </row>
    <row r="1617" spans="1:8" x14ac:dyDescent="0.3">
      <c r="A1617" s="9" t="s">
        <v>1710</v>
      </c>
      <c r="B1617" s="10" t="s">
        <v>38</v>
      </c>
      <c r="C1617" s="11">
        <v>45840</v>
      </c>
      <c r="D1617" s="12">
        <v>559912</v>
      </c>
      <c r="E1617" s="5" t="str">
        <f>_xlfn.XLOOKUP(D1617,[1]!Tabela24[Código consultor],[1]!Tabela24[Consultor Venda],0,0,1)</f>
        <v>COM - TEB - DEVAIR DE JESUS TALEVI</v>
      </c>
      <c r="F1617" s="5" t="str">
        <f>_xlfn.XLOOKUP(D1617,[1]!Tabela24[Código consultor],[1]!Tabela24[Canal Consultor],0,0,1)</f>
        <v>Pap</v>
      </c>
      <c r="G1617" s="10" t="str">
        <f>_xlfn.XLOOKUP(B1617,[1]!Tabela1[[Cidades ]],[1]!Tabela1[Regional],0,0,1)</f>
        <v>Jean</v>
      </c>
      <c r="H1617" s="13" t="str">
        <f>_xlfn.XLOOKUP(B1617,[1]!Tabela1[[Cidades ]],[1]!Tabela1[Gerente],0,0,1)</f>
        <v>Demais coordenadores</v>
      </c>
    </row>
    <row r="1618" spans="1:8" x14ac:dyDescent="0.3">
      <c r="A1618" s="4" t="s">
        <v>1711</v>
      </c>
      <c r="B1618" s="5" t="s">
        <v>53</v>
      </c>
      <c r="C1618" s="6">
        <v>45840</v>
      </c>
      <c r="D1618" s="7">
        <v>617463</v>
      </c>
      <c r="E1618" s="5" t="str">
        <f>_xlfn.XLOOKUP(D1618,[1]!Tabela24[Código consultor],[1]!Tabela24[Consultor Venda],0,0,1)</f>
        <v>DIG - CCO - ALEX AUGUSTO DA CRUZ RODRIGUES</v>
      </c>
      <c r="F1618" s="5" t="str">
        <f>_xlfn.XLOOKUP(D1618,[1]!Tabela24[Código consultor],[1]!Tabela24[Canal Consultor],0,0,1)</f>
        <v>DIGITAL</v>
      </c>
      <c r="G1618" s="5" t="str">
        <f>_xlfn.XLOOKUP(B1618,[1]!Tabela1[[Cidades ]],[1]!Tabela1[Regional],0,0,1)</f>
        <v>Adilson</v>
      </c>
      <c r="H1618" s="8" t="str">
        <f>_xlfn.XLOOKUP(B1618,[1]!Tabela1[[Cidades ]],[1]!Tabela1[Gerente],0,0,1)</f>
        <v>Demais coordenadores</v>
      </c>
    </row>
    <row r="1619" spans="1:8" x14ac:dyDescent="0.3">
      <c r="A1619" s="9" t="s">
        <v>1712</v>
      </c>
      <c r="B1619" s="10" t="s">
        <v>24</v>
      </c>
      <c r="C1619" s="11">
        <v>45840</v>
      </c>
      <c r="D1619" s="12">
        <v>788656</v>
      </c>
      <c r="E1619" s="5" t="str">
        <f>_xlfn.XLOOKUP(D1619,[1]!Tabela24[Código consultor],[1]!Tabela24[Consultor Venda],0,0,1)</f>
        <v>PAR - STB - PAP - JOY TELECOM - GABRIELA ALVES DE GODOY</v>
      </c>
      <c r="F1619" s="5" t="str">
        <f>_xlfn.XLOOKUP(D1619,[1]!Tabela24[Código consultor],[1]!Tabela24[Canal Consultor],0,0,1)</f>
        <v>PAR_DIG</v>
      </c>
      <c r="G1619" s="10" t="str">
        <f>_xlfn.XLOOKUP(B1619,[1]!Tabela1[[Cidades ]],[1]!Tabela1[Regional],0,0,1)</f>
        <v>Magno</v>
      </c>
      <c r="H1619" s="13" t="str">
        <f>_xlfn.XLOOKUP(B1619,[1]!Tabela1[[Cidades ]],[1]!Tabela1[Gerente],0,0,1)</f>
        <v>Demais coordenadores</v>
      </c>
    </row>
    <row r="1620" spans="1:8" x14ac:dyDescent="0.3">
      <c r="A1620" s="4" t="s">
        <v>1713</v>
      </c>
      <c r="B1620" s="5" t="s">
        <v>23</v>
      </c>
      <c r="C1620" s="6">
        <v>45840</v>
      </c>
      <c r="D1620" s="7">
        <v>878638</v>
      </c>
      <c r="E1620" s="5" t="str">
        <f>_xlfn.XLOOKUP(D1620,[1]!Tabela24[Código consultor],[1]!Tabela24[Consultor Venda],0,0,1)</f>
        <v>COM - CAN - STEPHANI CRISTINA DUARTE BENITES</v>
      </c>
      <c r="F1620" s="5" t="str">
        <f>_xlfn.XLOOKUP(D1620,[1]!Tabela24[Código consultor],[1]!Tabela24[Canal Consultor],0,0,1)</f>
        <v>Pap</v>
      </c>
      <c r="G1620" s="5" t="str">
        <f>_xlfn.XLOOKUP(B1620,[1]!Tabela1[[Cidades ]],[1]!Tabela1[Regional],0,0,1)</f>
        <v>Magno</v>
      </c>
      <c r="H1620" s="8" t="str">
        <f>_xlfn.XLOOKUP(B1620,[1]!Tabela1[[Cidades ]],[1]!Tabela1[Gerente],0,0,1)</f>
        <v>Demais coordenadores</v>
      </c>
    </row>
    <row r="1621" spans="1:8" x14ac:dyDescent="0.3">
      <c r="A1621" s="9" t="s">
        <v>1714</v>
      </c>
      <c r="B1621" s="10" t="s">
        <v>65</v>
      </c>
      <c r="C1621" s="11">
        <v>45840</v>
      </c>
      <c r="D1621" s="12">
        <v>882337</v>
      </c>
      <c r="E1621" s="5" t="str">
        <f>_xlfn.XLOOKUP(D1621,[1]!Tabela24[Código consultor],[1]!Tabela24[Consultor Venda],0,0,1)</f>
        <v>COM - CUA - LUCAS EDUARDO DA SILVA PEREIRA</v>
      </c>
      <c r="F1621" s="5" t="str">
        <f>_xlfn.XLOOKUP(D1621,[1]!Tabela24[Código consultor],[1]!Tabela24[Canal Consultor],0,0,1)</f>
        <v>Pap</v>
      </c>
      <c r="G1621" s="10" t="str">
        <f>_xlfn.XLOOKUP(B1621,[1]!Tabela1[[Cidades ]],[1]!Tabela1[Regional],0,0,1)</f>
        <v>Marcio</v>
      </c>
      <c r="H1621" s="13" t="str">
        <f>_xlfn.XLOOKUP(B1621,[1]!Tabela1[[Cidades ]],[1]!Tabela1[Gerente],0,0,1)</f>
        <v>Demais coordenadores</v>
      </c>
    </row>
    <row r="1622" spans="1:8" x14ac:dyDescent="0.3">
      <c r="A1622" s="4" t="s">
        <v>1715</v>
      </c>
      <c r="B1622" s="5" t="s">
        <v>30</v>
      </c>
      <c r="C1622" s="6">
        <v>45840</v>
      </c>
      <c r="D1622" s="7">
        <v>867522</v>
      </c>
      <c r="E1622" s="5" t="str">
        <f>_xlfn.XLOOKUP(D1622,[1]!Tabela24[Código consultor],[1]!Tabela24[Consultor Venda],0,0,1)</f>
        <v>COM - IGA - SANDRO CESAR MARTINS</v>
      </c>
      <c r="F1622" s="5" t="str">
        <f>_xlfn.XLOOKUP(D1622,[1]!Tabela24[Código consultor],[1]!Tabela24[Canal Consultor],0,0,1)</f>
        <v>Pap</v>
      </c>
      <c r="G1622" s="5" t="str">
        <f>_xlfn.XLOOKUP(B1622,[1]!Tabela1[[Cidades ]],[1]!Tabela1[Regional],0,0,1)</f>
        <v>Jean</v>
      </c>
      <c r="H1622" s="8" t="str">
        <f>_xlfn.XLOOKUP(B1622,[1]!Tabela1[[Cidades ]],[1]!Tabela1[Gerente],0,0,1)</f>
        <v>Demais coordenadores</v>
      </c>
    </row>
    <row r="1623" spans="1:8" x14ac:dyDescent="0.3">
      <c r="A1623" s="9" t="s">
        <v>1716</v>
      </c>
      <c r="B1623" s="10" t="s">
        <v>10</v>
      </c>
      <c r="C1623" s="11">
        <v>45840</v>
      </c>
      <c r="D1623" s="12">
        <v>738880</v>
      </c>
      <c r="E1623" s="5" t="str">
        <f>_xlfn.XLOOKUP(D1623,[1]!Tabela24[Código consultor],[1]!Tabela24[Consultor Venda],0,0,1)</f>
        <v>PAR - PAP - MUNDIALE - ANA LUIZA COUTO MATIAS</v>
      </c>
      <c r="F1623" s="5" t="str">
        <f>_xlfn.XLOOKUP(D1623,[1]!Tabela24[Código consultor],[1]!Tabela24[Canal Consultor],0,0,1)</f>
        <v>PAR_DIG</v>
      </c>
      <c r="G1623" s="10" t="str">
        <f>_xlfn.XLOOKUP(B1623,[1]!Tabela1[[Cidades ]],[1]!Tabela1[Regional],0,0,1)</f>
        <v>Jean</v>
      </c>
      <c r="H1623" s="13" t="str">
        <f>_xlfn.XLOOKUP(B1623,[1]!Tabela1[[Cidades ]],[1]!Tabela1[Gerente],0,0,1)</f>
        <v>Demais coordenadores</v>
      </c>
    </row>
    <row r="1624" spans="1:8" x14ac:dyDescent="0.3">
      <c r="A1624" s="4" t="s">
        <v>1717</v>
      </c>
      <c r="B1624" s="5" t="s">
        <v>13</v>
      </c>
      <c r="C1624" s="6">
        <v>45840</v>
      </c>
      <c r="D1624" s="7">
        <v>235841</v>
      </c>
      <c r="E1624" s="5" t="str">
        <f>_xlfn.XLOOKUP(D1624,[1]!Tabela24[Código consultor],[1]!Tabela24[Consultor Venda],0,0,1)</f>
        <v>DIG - CCO - KAUANA BONI</v>
      </c>
      <c r="F1624" s="5" t="str">
        <f>_xlfn.XLOOKUP(D1624,[1]!Tabela24[Código consultor],[1]!Tabela24[Canal Consultor],0,0,1)</f>
        <v>DIGITAL</v>
      </c>
      <c r="G1624" s="5" t="str">
        <f>_xlfn.XLOOKUP(B1624,[1]!Tabela1[[Cidades ]],[1]!Tabela1[Regional],0,0,1)</f>
        <v>Alisson</v>
      </c>
      <c r="H1624" s="8" t="str">
        <f>_xlfn.XLOOKUP(B1624,[1]!Tabela1[[Cidades ]],[1]!Tabela1[Gerente],0,0,1)</f>
        <v>Ariana</v>
      </c>
    </row>
    <row r="1625" spans="1:8" x14ac:dyDescent="0.3">
      <c r="A1625" s="9" t="s">
        <v>1718</v>
      </c>
      <c r="B1625" s="10" t="s">
        <v>12</v>
      </c>
      <c r="C1625" s="11">
        <v>45840</v>
      </c>
      <c r="D1625" s="12">
        <v>619232</v>
      </c>
      <c r="E1625" s="5" t="str">
        <f>_xlfn.XLOOKUP(D1625,[1]!Tabela24[Código consultor],[1]!Tabela24[Consultor Venda],0,0,1)</f>
        <v>PAR - JVE - TEC - HDS TELECOM - HUDSON ANDRE DE ALMEIDA</v>
      </c>
      <c r="F1625" s="5" t="str">
        <f>_xlfn.XLOOKUP(D1625,[1]!Tabela24[Código consultor],[1]!Tabela24[Canal Consultor],0,0,1)</f>
        <v>PAR</v>
      </c>
      <c r="G1625" s="10" t="str">
        <f>_xlfn.XLOOKUP(B1625,[1]!Tabela1[[Cidades ]],[1]!Tabela1[Regional],0,0,1)</f>
        <v>Jean</v>
      </c>
      <c r="H1625" s="13" t="str">
        <f>_xlfn.XLOOKUP(B1625,[1]!Tabela1[[Cidades ]],[1]!Tabela1[Gerente],0,0,1)</f>
        <v>Demais coordenadores</v>
      </c>
    </row>
    <row r="1626" spans="1:8" x14ac:dyDescent="0.3">
      <c r="A1626" s="4" t="s">
        <v>1719</v>
      </c>
      <c r="B1626" s="5" t="s">
        <v>22</v>
      </c>
      <c r="C1626" s="6">
        <v>45840</v>
      </c>
      <c r="D1626" s="7">
        <v>197832</v>
      </c>
      <c r="E1626" s="5" t="str">
        <f>_xlfn.XLOOKUP(D1626,[1]!Tabela24[Código consultor],[1]!Tabela24[Consultor Venda],0,0,1)</f>
        <v>DIG - CCO - RAIANE BERGAMIN</v>
      </c>
      <c r="F1626" s="5" t="str">
        <f>_xlfn.XLOOKUP(D1626,[1]!Tabela24[Código consultor],[1]!Tabela24[Canal Consultor],0,0,1)</f>
        <v>DIGITAL</v>
      </c>
      <c r="G1626" s="5" t="str">
        <f>_xlfn.XLOOKUP(B1626,[1]!Tabela1[[Cidades ]],[1]!Tabela1[Regional],0,0,1)</f>
        <v>Magno</v>
      </c>
      <c r="H1626" s="8" t="str">
        <f>_xlfn.XLOOKUP(B1626,[1]!Tabela1[[Cidades ]],[1]!Tabela1[Gerente],0,0,1)</f>
        <v>Demais coordenadores</v>
      </c>
    </row>
    <row r="1627" spans="1:8" x14ac:dyDescent="0.3">
      <c r="A1627" s="9" t="s">
        <v>1720</v>
      </c>
      <c r="B1627" s="10" t="s">
        <v>59</v>
      </c>
      <c r="C1627" s="11">
        <v>45840</v>
      </c>
      <c r="D1627" s="12">
        <v>885451</v>
      </c>
      <c r="E1627" s="5" t="str">
        <f>_xlfn.XLOOKUP(D1627,[1]!Tabela24[Código consultor],[1]!Tabela24[Consultor Venda],0,0,1)</f>
        <v>COM - UMR - MARIA EDUARDA OLIVEIRA SIBIONI</v>
      </c>
      <c r="F1627" s="5" t="str">
        <f>_xlfn.XLOOKUP(D1627,[1]!Tabela24[Código consultor],[1]!Tabela24[Canal Consultor],0,0,1)</f>
        <v>INTERNO</v>
      </c>
      <c r="G1627" s="10" t="str">
        <f>_xlfn.XLOOKUP(B1627,[1]!Tabela1[[Cidades ]],[1]!Tabela1[Regional],0,0,1)</f>
        <v>Adilson</v>
      </c>
      <c r="H1627" s="13" t="str">
        <f>_xlfn.XLOOKUP(B1627,[1]!Tabela1[[Cidades ]],[1]!Tabela1[Gerente],0,0,1)</f>
        <v>Demais coordenadores</v>
      </c>
    </row>
    <row r="1628" spans="1:8" x14ac:dyDescent="0.3">
      <c r="A1628" s="4" t="s">
        <v>1721</v>
      </c>
      <c r="B1628" s="5" t="s">
        <v>41</v>
      </c>
      <c r="C1628" s="6">
        <v>45840</v>
      </c>
      <c r="D1628" s="7">
        <v>177442</v>
      </c>
      <c r="E1628" s="5" t="str">
        <f>_xlfn.XLOOKUP(D1628,[1]!Tabela24[Código consultor],[1]!Tabela24[Consultor Venda],0,0,1)</f>
        <v>COM - XXE - MARCOS MEZZOMO</v>
      </c>
      <c r="F1628" s="5" t="str">
        <f>_xlfn.XLOOKUP(D1628,[1]!Tabela24[Código consultor],[1]!Tabela24[Canal Consultor],0,0,1)</f>
        <v>Pap</v>
      </c>
      <c r="G1628" s="5" t="str">
        <f>_xlfn.XLOOKUP(B1628,[1]!Tabela1[[Cidades ]],[1]!Tabela1[Regional],0,0,1)</f>
        <v>Maycon</v>
      </c>
      <c r="H1628" s="8" t="str">
        <f>_xlfn.XLOOKUP(B1628,[1]!Tabela1[[Cidades ]],[1]!Tabela1[Gerente],0,0,1)</f>
        <v>Demais coordenadores</v>
      </c>
    </row>
    <row r="1629" spans="1:8" x14ac:dyDescent="0.3">
      <c r="A1629" s="9" t="s">
        <v>1722</v>
      </c>
      <c r="B1629" s="10" t="s">
        <v>30</v>
      </c>
      <c r="C1629" s="11">
        <v>45840</v>
      </c>
      <c r="D1629" s="12">
        <v>867522</v>
      </c>
      <c r="E1629" s="5" t="str">
        <f>_xlfn.XLOOKUP(D1629,[1]!Tabela24[Código consultor],[1]!Tabela24[Consultor Venda],0,0,1)</f>
        <v>COM - IGA - SANDRO CESAR MARTINS</v>
      </c>
      <c r="F1629" s="5" t="str">
        <f>_xlfn.XLOOKUP(D1629,[1]!Tabela24[Código consultor],[1]!Tabela24[Canal Consultor],0,0,1)</f>
        <v>Pap</v>
      </c>
      <c r="G1629" s="10" t="str">
        <f>_xlfn.XLOOKUP(B1629,[1]!Tabela1[[Cidades ]],[1]!Tabela1[Regional],0,0,1)</f>
        <v>Jean</v>
      </c>
      <c r="H1629" s="13" t="str">
        <f>_xlfn.XLOOKUP(B1629,[1]!Tabela1[[Cidades ]],[1]!Tabela1[Gerente],0,0,1)</f>
        <v>Demais coordenadores</v>
      </c>
    </row>
    <row r="1630" spans="1:8" x14ac:dyDescent="0.3">
      <c r="A1630" s="4" t="s">
        <v>1723</v>
      </c>
      <c r="B1630" s="5" t="s">
        <v>46</v>
      </c>
      <c r="C1630" s="6">
        <v>45840</v>
      </c>
      <c r="D1630" s="7">
        <v>827465</v>
      </c>
      <c r="E1630" s="5" t="str">
        <f>_xlfn.XLOOKUP(D1630,[1]!Tabela24[Código consultor],[1]!Tabela24[Consultor Venda],0,0,1)</f>
        <v>DIG - ATV - TAINARA RODRIGUES CORDEIRO</v>
      </c>
      <c r="F1630" s="5" t="str">
        <f>_xlfn.XLOOKUP(D1630,[1]!Tabela24[Código consultor],[1]!Tabela24[Canal Consultor],0,0,1)</f>
        <v>Televendas Ativo</v>
      </c>
      <c r="G1630" s="5" t="str">
        <f>_xlfn.XLOOKUP(B1630,[1]!Tabela1[[Cidades ]],[1]!Tabela1[Regional],0,0,1)</f>
        <v>Magno</v>
      </c>
      <c r="H1630" s="8" t="str">
        <f>_xlfn.XLOOKUP(B1630,[1]!Tabela1[[Cidades ]],[1]!Tabela1[Gerente],0,0,1)</f>
        <v>Demais coordenadores</v>
      </c>
    </row>
    <row r="1631" spans="1:8" x14ac:dyDescent="0.3">
      <c r="A1631" s="9" t="s">
        <v>1724</v>
      </c>
      <c r="B1631" s="10" t="s">
        <v>15</v>
      </c>
      <c r="C1631" s="11">
        <v>45840</v>
      </c>
      <c r="D1631" s="12">
        <v>382799</v>
      </c>
      <c r="E1631" s="5" t="str">
        <f>_xlfn.XLOOKUP(D1631,[1]!Tabela24[Código consultor],[1]!Tabela24[Consultor Venda],0,0,1)</f>
        <v>COM - NVG - MONICA GUERRA</v>
      </c>
      <c r="F1631" s="5" t="str">
        <f>_xlfn.XLOOKUP(D1631,[1]!Tabela24[Código consultor],[1]!Tabela24[Canal Consultor],0,0,1)</f>
        <v>INTERNO</v>
      </c>
      <c r="G1631" s="10" t="str">
        <f>_xlfn.XLOOKUP(B1631,[1]!Tabela1[[Cidades ]],[1]!Tabela1[Regional],0,0,1)</f>
        <v>Marcio</v>
      </c>
      <c r="H1631" s="13" t="str">
        <f>_xlfn.XLOOKUP(B1631,[1]!Tabela1[[Cidades ]],[1]!Tabela1[Gerente],0,0,1)</f>
        <v>Demais coordenadores</v>
      </c>
    </row>
    <row r="1632" spans="1:8" x14ac:dyDescent="0.3">
      <c r="A1632" s="4" t="s">
        <v>1725</v>
      </c>
      <c r="B1632" s="5" t="s">
        <v>28</v>
      </c>
      <c r="C1632" s="6">
        <v>45840</v>
      </c>
      <c r="D1632" s="7">
        <v>547683</v>
      </c>
      <c r="E1632" s="5" t="str">
        <f>_xlfn.XLOOKUP(D1632,[1]!Tabela24[Código consultor],[1]!Tabela24[Consultor Venda],0,0,1)</f>
        <v>COM - LJO - JOAO PAULO DA SILVA SANTOS</v>
      </c>
      <c r="F1632" s="5" t="str">
        <f>_xlfn.XLOOKUP(D1632,[1]!Tabela24[Código consultor],[1]!Tabela24[Canal Consultor],0,0,1)</f>
        <v>Pap</v>
      </c>
      <c r="G1632" s="5" t="str">
        <f>_xlfn.XLOOKUP(B1632,[1]!Tabela1[[Cidades ]],[1]!Tabela1[Regional],0,0,1)</f>
        <v>Magno</v>
      </c>
      <c r="H1632" s="8" t="str">
        <f>_xlfn.XLOOKUP(B1632,[1]!Tabela1[[Cidades ]],[1]!Tabela1[Gerente],0,0,1)</f>
        <v>Demais coordenadores</v>
      </c>
    </row>
    <row r="1633" spans="1:8" x14ac:dyDescent="0.3">
      <c r="A1633" s="9" t="s">
        <v>1726</v>
      </c>
      <c r="B1633" s="10" t="s">
        <v>26</v>
      </c>
      <c r="C1633" s="11">
        <v>45840</v>
      </c>
      <c r="D1633" s="12">
        <v>767508</v>
      </c>
      <c r="E1633" s="5" t="str">
        <f>_xlfn.XLOOKUP(D1633,[1]!Tabela24[Código consultor],[1]!Tabela24[Consultor Venda],0,0,1)</f>
        <v>COM - CAN - JULIANA DA SILVA ASSUNCAO</v>
      </c>
      <c r="F1633" s="5" t="str">
        <f>_xlfn.XLOOKUP(D1633,[1]!Tabela24[Código consultor],[1]!Tabela24[Canal Consultor],0,0,1)</f>
        <v>Pap</v>
      </c>
      <c r="G1633" s="10" t="str">
        <f>_xlfn.XLOOKUP(B1633,[1]!Tabela1[[Cidades ]],[1]!Tabela1[Regional],0,0,1)</f>
        <v>Magno</v>
      </c>
      <c r="H1633" s="13" t="str">
        <f>_xlfn.XLOOKUP(B1633,[1]!Tabela1[[Cidades ]],[1]!Tabela1[Gerente],0,0,1)</f>
        <v>Demais coordenadores</v>
      </c>
    </row>
    <row r="1634" spans="1:8" x14ac:dyDescent="0.3">
      <c r="A1634" s="4" t="s">
        <v>1727</v>
      </c>
      <c r="B1634" s="5" t="s">
        <v>53</v>
      </c>
      <c r="C1634" s="6">
        <v>45840</v>
      </c>
      <c r="D1634" s="7">
        <v>600710</v>
      </c>
      <c r="E1634" s="5" t="str">
        <f>_xlfn.XLOOKUP(D1634,[1]!Tabela24[Código consultor],[1]!Tabela24[Consultor Venda],0,0,1)</f>
        <v>DIG - CCO - BRUNA BALBINOTTI</v>
      </c>
      <c r="F1634" s="5" t="str">
        <f>_xlfn.XLOOKUP(D1634,[1]!Tabela24[Código consultor],[1]!Tabela24[Canal Consultor],0,0,1)</f>
        <v>DIGITAL</v>
      </c>
      <c r="G1634" s="5" t="str">
        <f>_xlfn.XLOOKUP(B1634,[1]!Tabela1[[Cidades ]],[1]!Tabela1[Regional],0,0,1)</f>
        <v>Adilson</v>
      </c>
      <c r="H1634" s="8" t="str">
        <f>_xlfn.XLOOKUP(B1634,[1]!Tabela1[[Cidades ]],[1]!Tabela1[Gerente],0,0,1)</f>
        <v>Demais coordenadores</v>
      </c>
    </row>
    <row r="1635" spans="1:8" x14ac:dyDescent="0.3">
      <c r="A1635" s="9" t="s">
        <v>1728</v>
      </c>
      <c r="B1635" s="10" t="s">
        <v>16</v>
      </c>
      <c r="C1635" s="11">
        <v>45840</v>
      </c>
      <c r="D1635" s="12">
        <v>880349</v>
      </c>
      <c r="E1635" s="5" t="str">
        <f>_xlfn.XLOOKUP(D1635,[1]!Tabela24[Código consultor],[1]!Tabela24[Consultor Venda],0,0,1)</f>
        <v>COM - CSL - LUIS EDUARDO SLONGO PAIM</v>
      </c>
      <c r="F1635" s="5" t="str">
        <f>_xlfn.XLOOKUP(D1635,[1]!Tabela24[Código consultor],[1]!Tabela24[Canal Consultor],0,0,1)</f>
        <v>Pap</v>
      </c>
      <c r="G1635" s="10" t="str">
        <f>_xlfn.XLOOKUP(B1635,[1]!Tabela1[[Cidades ]],[1]!Tabela1[Regional],0,0,1)</f>
        <v>Magno</v>
      </c>
      <c r="H1635" s="13" t="str">
        <f>_xlfn.XLOOKUP(B1635,[1]!Tabela1[[Cidades ]],[1]!Tabela1[Gerente],0,0,1)</f>
        <v>Demais coordenadores</v>
      </c>
    </row>
    <row r="1636" spans="1:8" x14ac:dyDescent="0.3">
      <c r="A1636" s="4" t="s">
        <v>1729</v>
      </c>
      <c r="B1636" s="5" t="s">
        <v>19</v>
      </c>
      <c r="C1636" s="6">
        <v>45840</v>
      </c>
      <c r="D1636" s="7">
        <v>788656</v>
      </c>
      <c r="E1636" s="5" t="str">
        <f>_xlfn.XLOOKUP(D1636,[1]!Tabela24[Código consultor],[1]!Tabela24[Consultor Venda],0,0,1)</f>
        <v>PAR - STB - PAP - JOY TELECOM - GABRIELA ALVES DE GODOY</v>
      </c>
      <c r="F1636" s="5" t="str">
        <f>_xlfn.XLOOKUP(D1636,[1]!Tabela24[Código consultor],[1]!Tabela24[Canal Consultor],0,0,1)</f>
        <v>PAR_DIG</v>
      </c>
      <c r="G1636" s="5" t="str">
        <f>_xlfn.XLOOKUP(B1636,[1]!Tabela1[[Cidades ]],[1]!Tabela1[Regional],0,0,1)</f>
        <v>Magno</v>
      </c>
      <c r="H1636" s="8" t="str">
        <f>_xlfn.XLOOKUP(B1636,[1]!Tabela1[[Cidades ]],[1]!Tabela1[Gerente],0,0,1)</f>
        <v>Demais coordenadores</v>
      </c>
    </row>
    <row r="1637" spans="1:8" x14ac:dyDescent="0.3">
      <c r="A1637" s="9" t="s">
        <v>1730</v>
      </c>
      <c r="B1637" s="10" t="s">
        <v>73</v>
      </c>
      <c r="C1637" s="11">
        <v>45840</v>
      </c>
      <c r="D1637" s="12">
        <v>883580</v>
      </c>
      <c r="E1637" s="5" t="str">
        <f>_xlfn.XLOOKUP(D1637,[1]!Tabela24[Código consultor],[1]!Tabela24[Consultor Venda],0,0,1)</f>
        <v>COM - NNI - CRISTINA PELINSON</v>
      </c>
      <c r="F1637" s="5" t="str">
        <f>_xlfn.XLOOKUP(D1637,[1]!Tabela24[Código consultor],[1]!Tabela24[Canal Consultor],0,0,1)</f>
        <v>INTERNO</v>
      </c>
      <c r="G1637" s="10" t="str">
        <f>_xlfn.XLOOKUP(B1637,[1]!Tabela1[[Cidades ]],[1]!Tabela1[Regional],0,0,1)</f>
        <v>Alisson</v>
      </c>
      <c r="H1637" s="13" t="str">
        <f>_xlfn.XLOOKUP(B1637,[1]!Tabela1[[Cidades ]],[1]!Tabela1[Gerente],0,0,1)</f>
        <v>Helena</v>
      </c>
    </row>
    <row r="1638" spans="1:8" x14ac:dyDescent="0.3">
      <c r="A1638" s="4" t="s">
        <v>1731</v>
      </c>
      <c r="B1638" s="5" t="s">
        <v>53</v>
      </c>
      <c r="C1638" s="6">
        <v>45840</v>
      </c>
      <c r="D1638" s="7">
        <v>862559</v>
      </c>
      <c r="E1638" s="5" t="str">
        <f>_xlfn.XLOOKUP(D1638,[1]!Tabela24[Código consultor],[1]!Tabela24[Consultor Venda],0,0,1)</f>
        <v>COM - DOS - EDUARDA DOS SANTOS LIRA FONTELES</v>
      </c>
      <c r="F1638" s="5" t="str">
        <f>_xlfn.XLOOKUP(D1638,[1]!Tabela24[Código consultor],[1]!Tabela24[Canal Consultor],0,0,1)</f>
        <v>Pap</v>
      </c>
      <c r="G1638" s="5" t="str">
        <f>_xlfn.XLOOKUP(B1638,[1]!Tabela1[[Cidades ]],[1]!Tabela1[Regional],0,0,1)</f>
        <v>Adilson</v>
      </c>
      <c r="H1638" s="8" t="str">
        <f>_xlfn.XLOOKUP(B1638,[1]!Tabela1[[Cidades ]],[1]!Tabela1[Gerente],0,0,1)</f>
        <v>Demais coordenadores</v>
      </c>
    </row>
    <row r="1639" spans="1:8" x14ac:dyDescent="0.3">
      <c r="A1639" s="9" t="s">
        <v>1732</v>
      </c>
      <c r="B1639" s="10" t="s">
        <v>33</v>
      </c>
      <c r="C1639" s="11">
        <v>45840</v>
      </c>
      <c r="D1639" s="12">
        <v>785577</v>
      </c>
      <c r="E1639" s="5" t="str">
        <f>_xlfn.XLOOKUP(D1639,[1]!Tabela24[Código consultor],[1]!Tabela24[Consultor Venda],0,0,1)</f>
        <v>COM - XXE - LUCIA HELENA RAMOS KOTHE</v>
      </c>
      <c r="F1639" s="5" t="str">
        <f>_xlfn.XLOOKUP(D1639,[1]!Tabela24[Código consultor],[1]!Tabela24[Canal Consultor],0,0,1)</f>
        <v>INTERNO</v>
      </c>
      <c r="G1639" s="10" t="str">
        <f>_xlfn.XLOOKUP(B1639,[1]!Tabela1[[Cidades ]],[1]!Tabela1[Regional],0,0,1)</f>
        <v>Maycon</v>
      </c>
      <c r="H1639" s="13" t="str">
        <f>_xlfn.XLOOKUP(B1639,[1]!Tabela1[[Cidades ]],[1]!Tabela1[Gerente],0,0,1)</f>
        <v>Demais coordenadores</v>
      </c>
    </row>
    <row r="1640" spans="1:8" x14ac:dyDescent="0.3">
      <c r="A1640" s="4" t="s">
        <v>1733</v>
      </c>
      <c r="B1640" s="5" t="s">
        <v>38</v>
      </c>
      <c r="C1640" s="6">
        <v>45840</v>
      </c>
      <c r="D1640" s="7">
        <v>559912</v>
      </c>
      <c r="E1640" s="5" t="str">
        <f>_xlfn.XLOOKUP(D1640,[1]!Tabela24[Código consultor],[1]!Tabela24[Consultor Venda],0,0,1)</f>
        <v>COM - TEB - DEVAIR DE JESUS TALEVI</v>
      </c>
      <c r="F1640" s="5" t="str">
        <f>_xlfn.XLOOKUP(D1640,[1]!Tabela24[Código consultor],[1]!Tabela24[Canal Consultor],0,0,1)</f>
        <v>Pap</v>
      </c>
      <c r="G1640" s="5" t="str">
        <f>_xlfn.XLOOKUP(B1640,[1]!Tabela1[[Cidades ]],[1]!Tabela1[Regional],0,0,1)</f>
        <v>Jean</v>
      </c>
      <c r="H1640" s="8" t="str">
        <f>_xlfn.XLOOKUP(B1640,[1]!Tabela1[[Cidades ]],[1]!Tabela1[Gerente],0,0,1)</f>
        <v>Demais coordenadores</v>
      </c>
    </row>
    <row r="1641" spans="1:8" x14ac:dyDescent="0.3">
      <c r="A1641" s="9" t="s">
        <v>1734</v>
      </c>
      <c r="B1641" s="10" t="s">
        <v>40</v>
      </c>
      <c r="C1641" s="11">
        <v>45840</v>
      </c>
      <c r="D1641" s="12">
        <v>861705</v>
      </c>
      <c r="E1641" s="5" t="str">
        <f>_xlfn.XLOOKUP(D1641,[1]!Tabela24[Código consultor],[1]!Tabela24[Consultor Venda],0,0,1)</f>
        <v>PAR - COM - PAP - TQR - ERIKA DE OLIVEIRA GALLE</v>
      </c>
      <c r="F1641" s="5" t="str">
        <f>_xlfn.XLOOKUP(D1641,[1]!Tabela24[Código consultor],[1]!Tabela24[Canal Consultor],0,0,1)</f>
        <v>PAR</v>
      </c>
      <c r="G1641" s="10" t="str">
        <f>_xlfn.XLOOKUP(B1641,[1]!Tabela1[[Cidades ]],[1]!Tabela1[Regional],0,0,1)</f>
        <v>Magno</v>
      </c>
      <c r="H1641" s="13" t="str">
        <f>_xlfn.XLOOKUP(B1641,[1]!Tabela1[[Cidades ]],[1]!Tabela1[Gerente],0,0,1)</f>
        <v>Demais coordenadores</v>
      </c>
    </row>
    <row r="1642" spans="1:8" x14ac:dyDescent="0.3">
      <c r="A1642" s="4" t="s">
        <v>1735</v>
      </c>
      <c r="B1642" s="5" t="s">
        <v>23</v>
      </c>
      <c r="C1642" s="6">
        <v>45840</v>
      </c>
      <c r="D1642" s="7">
        <v>262147</v>
      </c>
      <c r="E1642" s="5" t="str">
        <f>_xlfn.XLOOKUP(D1642,[1]!Tabela24[Código consultor],[1]!Tabela24[Consultor Venda],0,0,1)</f>
        <v>COM - GTI - ALESANDRA PETRY BRAZEIRO</v>
      </c>
      <c r="F1642" s="5" t="str">
        <f>_xlfn.XLOOKUP(D1642,[1]!Tabela24[Código consultor],[1]!Tabela24[Canal Consultor],0,0,1)</f>
        <v>Pap</v>
      </c>
      <c r="G1642" s="5" t="str">
        <f>_xlfn.XLOOKUP(B1642,[1]!Tabela1[[Cidades ]],[1]!Tabela1[Regional],0,0,1)</f>
        <v>Magno</v>
      </c>
      <c r="H1642" s="8" t="str">
        <f>_xlfn.XLOOKUP(B1642,[1]!Tabela1[[Cidades ]],[1]!Tabela1[Gerente],0,0,1)</f>
        <v>Demais coordenadores</v>
      </c>
    </row>
    <row r="1643" spans="1:8" x14ac:dyDescent="0.3">
      <c r="A1643" s="9" t="s">
        <v>1736</v>
      </c>
      <c r="B1643" s="10" t="s">
        <v>138</v>
      </c>
      <c r="C1643" s="11">
        <v>45840</v>
      </c>
      <c r="D1643" s="12">
        <v>197832</v>
      </c>
      <c r="E1643" s="5" t="str">
        <f>_xlfn.XLOOKUP(D1643,[1]!Tabela24[Código consultor],[1]!Tabela24[Consultor Venda],0,0,1)</f>
        <v>DIG - CCO - RAIANE BERGAMIN</v>
      </c>
      <c r="F1643" s="5" t="str">
        <f>_xlfn.XLOOKUP(D1643,[1]!Tabela24[Código consultor],[1]!Tabela24[Canal Consultor],0,0,1)</f>
        <v>DIGITAL</v>
      </c>
      <c r="G1643" s="10" t="str">
        <f>_xlfn.XLOOKUP(B1643,[1]!Tabela1[[Cidades ]],[1]!Tabela1[Regional],0,0,1)</f>
        <v>Alisson</v>
      </c>
      <c r="H1643" s="13" t="str">
        <f>_xlfn.XLOOKUP(B1643,[1]!Tabela1[[Cidades ]],[1]!Tabela1[Gerente],0,0,1)</f>
        <v>Karine</v>
      </c>
    </row>
    <row r="1644" spans="1:8" x14ac:dyDescent="0.3">
      <c r="A1644" s="4" t="s">
        <v>1737</v>
      </c>
      <c r="B1644" s="5" t="s">
        <v>24</v>
      </c>
      <c r="C1644" s="6">
        <v>45840</v>
      </c>
      <c r="D1644" s="7">
        <v>600710</v>
      </c>
      <c r="E1644" s="5" t="str">
        <f>_xlfn.XLOOKUP(D1644,[1]!Tabela24[Código consultor],[1]!Tabela24[Consultor Venda],0,0,1)</f>
        <v>DIG - CCO - BRUNA BALBINOTTI</v>
      </c>
      <c r="F1644" s="5" t="str">
        <f>_xlfn.XLOOKUP(D1644,[1]!Tabela24[Código consultor],[1]!Tabela24[Canal Consultor],0,0,1)</f>
        <v>DIGITAL</v>
      </c>
      <c r="G1644" s="5" t="str">
        <f>_xlfn.XLOOKUP(B1644,[1]!Tabela1[[Cidades ]],[1]!Tabela1[Regional],0,0,1)</f>
        <v>Magno</v>
      </c>
      <c r="H1644" s="8" t="str">
        <f>_xlfn.XLOOKUP(B1644,[1]!Tabela1[[Cidades ]],[1]!Tabela1[Gerente],0,0,1)</f>
        <v>Demais coordenadores</v>
      </c>
    </row>
    <row r="1645" spans="1:8" x14ac:dyDescent="0.3">
      <c r="A1645" s="9" t="s">
        <v>1738</v>
      </c>
      <c r="B1645" s="10" t="s">
        <v>22</v>
      </c>
      <c r="C1645" s="11">
        <v>45840</v>
      </c>
      <c r="D1645" s="12">
        <v>811237</v>
      </c>
      <c r="E1645" s="5" t="str">
        <f>_xlfn.XLOOKUP(D1645,[1]!Tabela24[Código consultor],[1]!Tabela24[Consultor Venda],0,0,1)</f>
        <v>DIG - CCO - MAIKON JORDAN CHAVES DE QUADROS</v>
      </c>
      <c r="F1645" s="5" t="str">
        <f>_xlfn.XLOOKUP(D1645,[1]!Tabela24[Código consultor],[1]!Tabela24[Canal Consultor],0,0,1)</f>
        <v>DIGITAL</v>
      </c>
      <c r="G1645" s="10" t="str">
        <f>_xlfn.XLOOKUP(B1645,[1]!Tabela1[[Cidades ]],[1]!Tabela1[Regional],0,0,1)</f>
        <v>Magno</v>
      </c>
      <c r="H1645" s="13" t="str">
        <f>_xlfn.XLOOKUP(B1645,[1]!Tabela1[[Cidades ]],[1]!Tabela1[Gerente],0,0,1)</f>
        <v>Demais coordenadores</v>
      </c>
    </row>
    <row r="1646" spans="1:8" x14ac:dyDescent="0.3">
      <c r="A1646" s="4" t="s">
        <v>1739</v>
      </c>
      <c r="B1646" s="5" t="s">
        <v>38</v>
      </c>
      <c r="C1646" s="6">
        <v>45840</v>
      </c>
      <c r="D1646" s="7">
        <v>790437</v>
      </c>
      <c r="E1646" s="5" t="str">
        <f>_xlfn.XLOOKUP(D1646,[1]!Tabela24[Código consultor],[1]!Tabela24[Consultor Venda],0,0,1)</f>
        <v>COM - TEB - ROSANI APARECIDA FERREIRA</v>
      </c>
      <c r="F1646" s="5" t="str">
        <f>_xlfn.XLOOKUP(D1646,[1]!Tabela24[Código consultor],[1]!Tabela24[Canal Consultor],0,0,1)</f>
        <v>Pap</v>
      </c>
      <c r="G1646" s="5" t="str">
        <f>_xlfn.XLOOKUP(B1646,[1]!Tabela1[[Cidades ]],[1]!Tabela1[Regional],0,0,1)</f>
        <v>Jean</v>
      </c>
      <c r="H1646" s="8" t="str">
        <f>_xlfn.XLOOKUP(B1646,[1]!Tabela1[[Cidades ]],[1]!Tabela1[Gerente],0,0,1)</f>
        <v>Demais coordenadores</v>
      </c>
    </row>
    <row r="1647" spans="1:8" x14ac:dyDescent="0.3">
      <c r="A1647" s="9" t="s">
        <v>1740</v>
      </c>
      <c r="B1647" s="10" t="s">
        <v>26</v>
      </c>
      <c r="C1647" s="11">
        <v>45840</v>
      </c>
      <c r="D1647" s="12">
        <v>781649</v>
      </c>
      <c r="E1647" s="5" t="str">
        <f>_xlfn.XLOOKUP(D1647,[1]!Tabela24[Código consultor],[1]!Tabela24[Consultor Venda],0,0,1)</f>
        <v>COM - GTI - EMILLY CARDOSO BALTHAZAR</v>
      </c>
      <c r="F1647" s="5" t="str">
        <f>_xlfn.XLOOKUP(D1647,[1]!Tabela24[Código consultor],[1]!Tabela24[Canal Consultor],0,0,1)</f>
        <v>Pap</v>
      </c>
      <c r="G1647" s="10" t="str">
        <f>_xlfn.XLOOKUP(B1647,[1]!Tabela1[[Cidades ]],[1]!Tabela1[Regional],0,0,1)</f>
        <v>Magno</v>
      </c>
      <c r="H1647" s="13" t="str">
        <f>_xlfn.XLOOKUP(B1647,[1]!Tabela1[[Cidades ]],[1]!Tabela1[Gerente],0,0,1)</f>
        <v>Demais coordenadores</v>
      </c>
    </row>
    <row r="1648" spans="1:8" x14ac:dyDescent="0.3">
      <c r="A1648" s="4" t="s">
        <v>1741</v>
      </c>
      <c r="B1648" s="5" t="s">
        <v>11</v>
      </c>
      <c r="C1648" s="6">
        <v>45840</v>
      </c>
      <c r="D1648" s="7">
        <v>738880</v>
      </c>
      <c r="E1648" s="5" t="str">
        <f>_xlfn.XLOOKUP(D1648,[1]!Tabela24[Código consultor],[1]!Tabela24[Consultor Venda],0,0,1)</f>
        <v>PAR - PAP - MUNDIALE - ANA LUIZA COUTO MATIAS</v>
      </c>
      <c r="F1648" s="5" t="str">
        <f>_xlfn.XLOOKUP(D1648,[1]!Tabela24[Código consultor],[1]!Tabela24[Canal Consultor],0,0,1)</f>
        <v>PAR_DIG</v>
      </c>
      <c r="G1648" s="5" t="str">
        <f>_xlfn.XLOOKUP(B1648,[1]!Tabela1[[Cidades ]],[1]!Tabela1[Regional],0,0,1)</f>
        <v>Magno</v>
      </c>
      <c r="H1648" s="8" t="str">
        <f>_xlfn.XLOOKUP(B1648,[1]!Tabela1[[Cidades ]],[1]!Tabela1[Gerente],0,0,1)</f>
        <v>Demais coordenadores</v>
      </c>
    </row>
    <row r="1649" spans="1:8" x14ac:dyDescent="0.3">
      <c r="A1649" s="9" t="s">
        <v>1742</v>
      </c>
      <c r="B1649" s="10" t="s">
        <v>17</v>
      </c>
      <c r="C1649" s="11">
        <v>45840</v>
      </c>
      <c r="D1649" s="12">
        <v>888374</v>
      </c>
      <c r="E1649" s="5">
        <f>_xlfn.XLOOKUP(D1649,[1]!Tabela24[Código consultor],[1]!Tabela24[Consultor Venda],0,0,1)</f>
        <v>0</v>
      </c>
      <c r="F1649" s="5">
        <f>_xlfn.XLOOKUP(D1649,[1]!Tabela24[Código consultor],[1]!Tabela24[Canal Consultor],0,0,1)</f>
        <v>0</v>
      </c>
      <c r="G1649" s="10" t="str">
        <f>_xlfn.XLOOKUP(B1649,[1]!Tabela1[[Cidades ]],[1]!Tabela1[Regional],0,0,1)</f>
        <v>Alisson</v>
      </c>
      <c r="H1649" s="13" t="str">
        <f>_xlfn.XLOOKUP(B1649,[1]!Tabela1[[Cidades ]],[1]!Tabela1[Gerente],0,0,1)</f>
        <v>Ariana</v>
      </c>
    </row>
    <row r="1650" spans="1:8" x14ac:dyDescent="0.3">
      <c r="A1650" s="4" t="s">
        <v>1743</v>
      </c>
      <c r="B1650" s="5" t="s">
        <v>19</v>
      </c>
      <c r="C1650" s="6">
        <v>45840</v>
      </c>
      <c r="D1650" s="7">
        <v>878848</v>
      </c>
      <c r="E1650" s="5" t="str">
        <f>_xlfn.XLOOKUP(D1650,[1]!Tabela24[Código consultor],[1]!Tabela24[Consultor Venda],0,0,1)</f>
        <v>COM - CHN - MATHEUS ALFREDO MACEDO</v>
      </c>
      <c r="F1650" s="5" t="str">
        <f>_xlfn.XLOOKUP(D1650,[1]!Tabela24[Código consultor],[1]!Tabela24[Canal Consultor],0,0,1)</f>
        <v>Pap</v>
      </c>
      <c r="G1650" s="5" t="str">
        <f>_xlfn.XLOOKUP(B1650,[1]!Tabela1[[Cidades ]],[1]!Tabela1[Regional],0,0,1)</f>
        <v>Magno</v>
      </c>
      <c r="H1650" s="8" t="str">
        <f>_xlfn.XLOOKUP(B1650,[1]!Tabela1[[Cidades ]],[1]!Tabela1[Gerente],0,0,1)</f>
        <v>Demais coordenadores</v>
      </c>
    </row>
    <row r="1651" spans="1:8" x14ac:dyDescent="0.3">
      <c r="A1651" s="9" t="s">
        <v>1744</v>
      </c>
      <c r="B1651" s="10" t="s">
        <v>24</v>
      </c>
      <c r="C1651" s="11">
        <v>45840</v>
      </c>
      <c r="D1651" s="12">
        <v>788656</v>
      </c>
      <c r="E1651" s="5" t="str">
        <f>_xlfn.XLOOKUP(D1651,[1]!Tabela24[Código consultor],[1]!Tabela24[Consultor Venda],0,0,1)</f>
        <v>PAR - STB - PAP - JOY TELECOM - GABRIELA ALVES DE GODOY</v>
      </c>
      <c r="F1651" s="5" t="str">
        <f>_xlfn.XLOOKUP(D1651,[1]!Tabela24[Código consultor],[1]!Tabela24[Canal Consultor],0,0,1)</f>
        <v>PAR_DIG</v>
      </c>
      <c r="G1651" s="10" t="str">
        <f>_xlfn.XLOOKUP(B1651,[1]!Tabela1[[Cidades ]],[1]!Tabela1[Regional],0,0,1)</f>
        <v>Magno</v>
      </c>
      <c r="H1651" s="13" t="str">
        <f>_xlfn.XLOOKUP(B1651,[1]!Tabela1[[Cidades ]],[1]!Tabela1[Gerente],0,0,1)</f>
        <v>Demais coordenadores</v>
      </c>
    </row>
    <row r="1652" spans="1:8" x14ac:dyDescent="0.3">
      <c r="A1652" s="4" t="s">
        <v>1745</v>
      </c>
      <c r="B1652" s="5" t="s">
        <v>26</v>
      </c>
      <c r="C1652" s="6">
        <v>45840</v>
      </c>
      <c r="D1652" s="7">
        <v>691859</v>
      </c>
      <c r="E1652" s="5" t="str">
        <f>_xlfn.XLOOKUP(D1652,[1]!Tabela24[Código consultor],[1]!Tabela24[Consultor Venda],0,0,1)</f>
        <v>COM - GTI - SERGIO GABRIEL GOMES NERVIS</v>
      </c>
      <c r="F1652" s="5" t="str">
        <f>_xlfn.XLOOKUP(D1652,[1]!Tabela24[Código consultor],[1]!Tabela24[Canal Consultor],0,0,1)</f>
        <v>Pap</v>
      </c>
      <c r="G1652" s="5" t="str">
        <f>_xlfn.XLOOKUP(B1652,[1]!Tabela1[[Cidades ]],[1]!Tabela1[Regional],0,0,1)</f>
        <v>Magno</v>
      </c>
      <c r="H1652" s="8" t="str">
        <f>_xlfn.XLOOKUP(B1652,[1]!Tabela1[[Cidades ]],[1]!Tabela1[Gerente],0,0,1)</f>
        <v>Demais coordenadores</v>
      </c>
    </row>
    <row r="1653" spans="1:8" x14ac:dyDescent="0.3">
      <c r="A1653" s="9" t="s">
        <v>1746</v>
      </c>
      <c r="B1653" s="10" t="s">
        <v>23</v>
      </c>
      <c r="C1653" s="11">
        <v>45840</v>
      </c>
      <c r="D1653" s="12">
        <v>880152</v>
      </c>
      <c r="E1653" s="5" t="str">
        <f>_xlfn.XLOOKUP(D1653,[1]!Tabela24[Código consultor],[1]!Tabela24[Consultor Venda],0,0,1)</f>
        <v>COM - CAN - JHULIANA FREITAS SCHMACHTENBERG</v>
      </c>
      <c r="F1653" s="5" t="str">
        <f>_xlfn.XLOOKUP(D1653,[1]!Tabela24[Código consultor],[1]!Tabela24[Canal Consultor],0,0,1)</f>
        <v>INTERNO</v>
      </c>
      <c r="G1653" s="10" t="str">
        <f>_xlfn.XLOOKUP(B1653,[1]!Tabela1[[Cidades ]],[1]!Tabela1[Regional],0,0,1)</f>
        <v>Magno</v>
      </c>
      <c r="H1653" s="13" t="str">
        <f>_xlfn.XLOOKUP(B1653,[1]!Tabela1[[Cidades ]],[1]!Tabela1[Gerente],0,0,1)</f>
        <v>Demais coordenadores</v>
      </c>
    </row>
    <row r="1654" spans="1:8" x14ac:dyDescent="0.3">
      <c r="A1654" s="4" t="s">
        <v>1747</v>
      </c>
      <c r="B1654" s="5" t="s">
        <v>10</v>
      </c>
      <c r="C1654" s="6">
        <v>45840</v>
      </c>
      <c r="D1654" s="7">
        <v>525458</v>
      </c>
      <c r="E1654" s="5" t="str">
        <f>_xlfn.XLOOKUP(D1654,[1]!Tabela24[Código consultor],[1]!Tabela24[Consultor Venda],0,0,1)</f>
        <v>PAR - ADM - GRP - FIGUEREDO MOBILE  - JOSELIO O. P. JUNIOR</v>
      </c>
      <c r="F1654" s="5" t="str">
        <f>_xlfn.XLOOKUP(D1654,[1]!Tabela24[Código consultor],[1]!Tabela24[Canal Consultor],0,0,1)</f>
        <v>PAR</v>
      </c>
      <c r="G1654" s="5" t="str">
        <f>_xlfn.XLOOKUP(B1654,[1]!Tabela1[[Cidades ]],[1]!Tabela1[Regional],0,0,1)</f>
        <v>Jean</v>
      </c>
      <c r="H1654" s="8" t="str">
        <f>_xlfn.XLOOKUP(B1654,[1]!Tabela1[[Cidades ]],[1]!Tabela1[Gerente],0,0,1)</f>
        <v>Demais coordenadores</v>
      </c>
    </row>
    <row r="1655" spans="1:8" x14ac:dyDescent="0.3">
      <c r="A1655" s="9" t="s">
        <v>1748</v>
      </c>
      <c r="B1655" s="10" t="s">
        <v>37</v>
      </c>
      <c r="C1655" s="11">
        <v>45840</v>
      </c>
      <c r="D1655" s="12">
        <v>881485</v>
      </c>
      <c r="E1655" s="5" t="str">
        <f>_xlfn.XLOOKUP(D1655,[1]!Tabela24[Código consultor],[1]!Tabela24[Consultor Venda],0,0,1)</f>
        <v>COM - SOC - ERICSSON CUNHA DE PAULA ANHAIA</v>
      </c>
      <c r="F1655" s="5" t="str">
        <f>_xlfn.XLOOKUP(D1655,[1]!Tabela24[Código consultor],[1]!Tabela24[Canal Consultor],0,0,1)</f>
        <v>Pap</v>
      </c>
      <c r="G1655" s="10" t="str">
        <f>_xlfn.XLOOKUP(B1655,[1]!Tabela1[[Cidades ]],[1]!Tabela1[Regional],0,0,1)</f>
        <v>Jean</v>
      </c>
      <c r="H1655" s="13" t="str">
        <f>_xlfn.XLOOKUP(B1655,[1]!Tabela1[[Cidades ]],[1]!Tabela1[Gerente],0,0,1)</f>
        <v>Demais coordenadores</v>
      </c>
    </row>
    <row r="1656" spans="1:8" x14ac:dyDescent="0.3">
      <c r="A1656" s="4" t="s">
        <v>1749</v>
      </c>
      <c r="B1656" s="5" t="s">
        <v>72</v>
      </c>
      <c r="C1656" s="6">
        <v>45840</v>
      </c>
      <c r="D1656" s="7">
        <v>872122</v>
      </c>
      <c r="E1656" s="5" t="str">
        <f>_xlfn.XLOOKUP(D1656,[1]!Tabela24[Código consultor],[1]!Tabela24[Consultor Venda],0,0,1)</f>
        <v>PAR - COM - JCA - TECNOSERVI - ELISA MERCADO SPIELMANN</v>
      </c>
      <c r="F1656" s="5" t="str">
        <f>_xlfn.XLOOKUP(D1656,[1]!Tabela24[Código consultor],[1]!Tabela24[Canal Consultor],0,0,1)</f>
        <v>PAR</v>
      </c>
      <c r="G1656" s="5" t="str">
        <f>_xlfn.XLOOKUP(B1656,[1]!Tabela1[[Cidades ]],[1]!Tabela1[Regional],0,0,1)</f>
        <v>Maycon</v>
      </c>
      <c r="H1656" s="8" t="str">
        <f>_xlfn.XLOOKUP(B1656,[1]!Tabela1[[Cidades ]],[1]!Tabela1[Gerente],0,0,1)</f>
        <v>Demais coordenadores</v>
      </c>
    </row>
    <row r="1657" spans="1:8" x14ac:dyDescent="0.3">
      <c r="A1657" s="9" t="s">
        <v>1750</v>
      </c>
      <c r="B1657" s="10" t="s">
        <v>29</v>
      </c>
      <c r="C1657" s="11">
        <v>45840</v>
      </c>
      <c r="D1657" s="12">
        <v>233138</v>
      </c>
      <c r="E1657" s="5" t="str">
        <f>_xlfn.XLOOKUP(D1657,[1]!Tabela24[Código consultor],[1]!Tabela24[Consultor Venda],0,0,1)</f>
        <v>PAR - INTE - GRP - MOBILE HD - ALINE KARNOSKI</v>
      </c>
      <c r="F1657" s="5" t="str">
        <f>_xlfn.XLOOKUP(D1657,[1]!Tabela24[Código consultor],[1]!Tabela24[Canal Consultor],0,0,1)</f>
        <v>PAR</v>
      </c>
      <c r="G1657" s="10" t="str">
        <f>_xlfn.XLOOKUP(B1657,[1]!Tabela1[[Cidades ]],[1]!Tabela1[Regional],0,0,1)</f>
        <v>Adilson</v>
      </c>
      <c r="H1657" s="13" t="str">
        <f>_xlfn.XLOOKUP(B1657,[1]!Tabela1[[Cidades ]],[1]!Tabela1[Gerente],0,0,1)</f>
        <v>Demais coordenadores</v>
      </c>
    </row>
    <row r="1658" spans="1:8" x14ac:dyDescent="0.3">
      <c r="A1658" s="4" t="s">
        <v>1751</v>
      </c>
      <c r="B1658" s="5" t="s">
        <v>31</v>
      </c>
      <c r="C1658" s="6">
        <v>45840</v>
      </c>
      <c r="D1658" s="7">
        <v>177442</v>
      </c>
      <c r="E1658" s="5" t="str">
        <f>_xlfn.XLOOKUP(D1658,[1]!Tabela24[Código consultor],[1]!Tabela24[Consultor Venda],0,0,1)</f>
        <v>COM - XXE - MARCOS MEZZOMO</v>
      </c>
      <c r="F1658" s="5" t="str">
        <f>_xlfn.XLOOKUP(D1658,[1]!Tabela24[Código consultor],[1]!Tabela24[Canal Consultor],0,0,1)</f>
        <v>Pap</v>
      </c>
      <c r="G1658" s="5" t="str">
        <f>_xlfn.XLOOKUP(B1658,[1]!Tabela1[[Cidades ]],[1]!Tabela1[Regional],0,0,1)</f>
        <v>Maycon</v>
      </c>
      <c r="H1658" s="8" t="str">
        <f>_xlfn.XLOOKUP(B1658,[1]!Tabela1[[Cidades ]],[1]!Tabela1[Gerente],0,0,1)</f>
        <v>Demais coordenadores</v>
      </c>
    </row>
    <row r="1659" spans="1:8" x14ac:dyDescent="0.3">
      <c r="A1659" s="9" t="s">
        <v>1752</v>
      </c>
      <c r="B1659" s="10" t="s">
        <v>23</v>
      </c>
      <c r="C1659" s="11">
        <v>45840</v>
      </c>
      <c r="D1659" s="12">
        <v>876162</v>
      </c>
      <c r="E1659" s="5" t="str">
        <f>_xlfn.XLOOKUP(D1659,[1]!Tabela24[Código consultor],[1]!Tabela24[Consultor Venda],0,0,1)</f>
        <v>COM - CAN - PAULA VITORIA ELIAS VIEIRA</v>
      </c>
      <c r="F1659" s="5" t="str">
        <f>_xlfn.XLOOKUP(D1659,[1]!Tabela24[Código consultor],[1]!Tabela24[Canal Consultor],0,0,1)</f>
        <v>Pap</v>
      </c>
      <c r="G1659" s="10" t="str">
        <f>_xlfn.XLOOKUP(B1659,[1]!Tabela1[[Cidades ]],[1]!Tabela1[Regional],0,0,1)</f>
        <v>Magno</v>
      </c>
      <c r="H1659" s="13" t="str">
        <f>_xlfn.XLOOKUP(B1659,[1]!Tabela1[[Cidades ]],[1]!Tabela1[Gerente],0,0,1)</f>
        <v>Demais coordenadores</v>
      </c>
    </row>
    <row r="1660" spans="1:8" x14ac:dyDescent="0.3">
      <c r="A1660" s="4" t="s">
        <v>1753</v>
      </c>
      <c r="B1660" s="5" t="s">
        <v>23</v>
      </c>
      <c r="C1660" s="6">
        <v>45840</v>
      </c>
      <c r="D1660" s="7">
        <v>880152</v>
      </c>
      <c r="E1660" s="5" t="str">
        <f>_xlfn.XLOOKUP(D1660,[1]!Tabela24[Código consultor],[1]!Tabela24[Consultor Venda],0,0,1)</f>
        <v>COM - CAN - JHULIANA FREITAS SCHMACHTENBERG</v>
      </c>
      <c r="F1660" s="5" t="str">
        <f>_xlfn.XLOOKUP(D1660,[1]!Tabela24[Código consultor],[1]!Tabela24[Canal Consultor],0,0,1)</f>
        <v>INTERNO</v>
      </c>
      <c r="G1660" s="5" t="str">
        <f>_xlfn.XLOOKUP(B1660,[1]!Tabela1[[Cidades ]],[1]!Tabela1[Regional],0,0,1)</f>
        <v>Magno</v>
      </c>
      <c r="H1660" s="8" t="str">
        <f>_xlfn.XLOOKUP(B1660,[1]!Tabela1[[Cidades ]],[1]!Tabela1[Gerente],0,0,1)</f>
        <v>Demais coordenadores</v>
      </c>
    </row>
    <row r="1661" spans="1:8" x14ac:dyDescent="0.3">
      <c r="A1661" s="9" t="s">
        <v>1754</v>
      </c>
      <c r="B1661" s="10" t="s">
        <v>11</v>
      </c>
      <c r="C1661" s="11">
        <v>45840</v>
      </c>
      <c r="D1661" s="12">
        <v>788656</v>
      </c>
      <c r="E1661" s="5" t="str">
        <f>_xlfn.XLOOKUP(D1661,[1]!Tabela24[Código consultor],[1]!Tabela24[Consultor Venda],0,0,1)</f>
        <v>PAR - STB - PAP - JOY TELECOM - GABRIELA ALVES DE GODOY</v>
      </c>
      <c r="F1661" s="5" t="str">
        <f>_xlfn.XLOOKUP(D1661,[1]!Tabela24[Código consultor],[1]!Tabela24[Canal Consultor],0,0,1)</f>
        <v>PAR_DIG</v>
      </c>
      <c r="G1661" s="10" t="str">
        <f>_xlfn.XLOOKUP(B1661,[1]!Tabela1[[Cidades ]],[1]!Tabela1[Regional],0,0,1)</f>
        <v>Magno</v>
      </c>
      <c r="H1661" s="13" t="str">
        <f>_xlfn.XLOOKUP(B1661,[1]!Tabela1[[Cidades ]],[1]!Tabela1[Gerente],0,0,1)</f>
        <v>Demais coordenadores</v>
      </c>
    </row>
    <row r="1662" spans="1:8" x14ac:dyDescent="0.3">
      <c r="A1662" s="4" t="s">
        <v>1755</v>
      </c>
      <c r="B1662" s="5" t="s">
        <v>32</v>
      </c>
      <c r="C1662" s="6">
        <v>45840</v>
      </c>
      <c r="D1662" s="7">
        <v>829353</v>
      </c>
      <c r="E1662" s="5" t="str">
        <f>_xlfn.XLOOKUP(D1662,[1]!Tabela24[Código consultor],[1]!Tabela24[Consultor Venda],0,0,1)</f>
        <v>COM - IGA - KARL EDUARDO MORAES DE ALMEIDA</v>
      </c>
      <c r="F1662" s="5" t="str">
        <f>_xlfn.XLOOKUP(D1662,[1]!Tabela24[Código consultor],[1]!Tabela24[Canal Consultor],0,0,1)</f>
        <v>Pap</v>
      </c>
      <c r="G1662" s="5" t="str">
        <f>_xlfn.XLOOKUP(B1662,[1]!Tabela1[[Cidades ]],[1]!Tabela1[Regional],0,0,1)</f>
        <v>Jean</v>
      </c>
      <c r="H1662" s="8" t="str">
        <f>_xlfn.XLOOKUP(B1662,[1]!Tabela1[[Cidades ]],[1]!Tabela1[Gerente],0,0,1)</f>
        <v>Demais coordenadores</v>
      </c>
    </row>
    <row r="1663" spans="1:8" x14ac:dyDescent="0.3">
      <c r="A1663" s="9" t="s">
        <v>1756</v>
      </c>
      <c r="B1663" s="10" t="s">
        <v>50</v>
      </c>
      <c r="C1663" s="11">
        <v>45840</v>
      </c>
      <c r="D1663" s="12">
        <v>833948</v>
      </c>
      <c r="E1663" s="5" t="str">
        <f>_xlfn.XLOOKUP(D1663,[1]!Tabela24[Código consultor],[1]!Tabela24[Consultor Venda],0,0,1)</f>
        <v>COM - FNS - CRISTIANO CASTRO APARECIDO</v>
      </c>
      <c r="F1663" s="5" t="str">
        <f>_xlfn.XLOOKUP(D1663,[1]!Tabela24[Código consultor],[1]!Tabela24[Canal Consultor],0,0,1)</f>
        <v>Pap</v>
      </c>
      <c r="G1663" s="10" t="str">
        <f>_xlfn.XLOOKUP(B1663,[1]!Tabela1[[Cidades ]],[1]!Tabela1[Regional],0,0,1)</f>
        <v>Marcio</v>
      </c>
      <c r="H1663" s="13" t="str">
        <f>_xlfn.XLOOKUP(B1663,[1]!Tabela1[[Cidades ]],[1]!Tabela1[Gerente],0,0,1)</f>
        <v>Demais coordenadores</v>
      </c>
    </row>
    <row r="1664" spans="1:8" x14ac:dyDescent="0.3">
      <c r="A1664" s="4" t="s">
        <v>1757</v>
      </c>
      <c r="B1664" s="5" t="s">
        <v>19</v>
      </c>
      <c r="C1664" s="6">
        <v>45840</v>
      </c>
      <c r="D1664" s="7">
        <v>653931</v>
      </c>
      <c r="E1664" s="5" t="str">
        <f>_xlfn.XLOOKUP(D1664,[1]!Tabela24[Código consultor],[1]!Tabela24[Consultor Venda],0,0,1)</f>
        <v>COM - CHN - SANTIAGO DA SILVA RODRIGUES</v>
      </c>
      <c r="F1664" s="5" t="str">
        <f>_xlfn.XLOOKUP(D1664,[1]!Tabela24[Código consultor],[1]!Tabela24[Canal Consultor],0,0,1)</f>
        <v>Pap</v>
      </c>
      <c r="G1664" s="5" t="str">
        <f>_xlfn.XLOOKUP(B1664,[1]!Tabela1[[Cidades ]],[1]!Tabela1[Regional],0,0,1)</f>
        <v>Magno</v>
      </c>
      <c r="H1664" s="8" t="str">
        <f>_xlfn.XLOOKUP(B1664,[1]!Tabela1[[Cidades ]],[1]!Tabela1[Gerente],0,0,1)</f>
        <v>Demais coordenadores</v>
      </c>
    </row>
    <row r="1665" spans="1:8" x14ac:dyDescent="0.3">
      <c r="A1665" s="9" t="s">
        <v>1758</v>
      </c>
      <c r="B1665" s="10" t="s">
        <v>18</v>
      </c>
      <c r="C1665" s="11">
        <v>45840</v>
      </c>
      <c r="D1665" s="12">
        <v>875515</v>
      </c>
      <c r="E1665" s="5" t="str">
        <f>_xlfn.XLOOKUP(D1665,[1]!Tabela24[Código consultor],[1]!Tabela24[Consultor Venda],0,0,1)</f>
        <v>COM - MVH - LUCIANE FRANCIELI PEDROZO</v>
      </c>
      <c r="F1665" s="5" t="str">
        <f>_xlfn.XLOOKUP(D1665,[1]!Tabela24[Código consultor],[1]!Tabela24[Canal Consultor],0,0,1)</f>
        <v>INTERNO</v>
      </c>
      <c r="G1665" s="10" t="str">
        <f>_xlfn.XLOOKUP(B1665,[1]!Tabela1[[Cidades ]],[1]!Tabela1[Regional],0,0,1)</f>
        <v>Maycon</v>
      </c>
      <c r="H1665" s="13" t="str">
        <f>_xlfn.XLOOKUP(B1665,[1]!Tabela1[[Cidades ]],[1]!Tabela1[Gerente],0,0,1)</f>
        <v>Demais coordenadores</v>
      </c>
    </row>
    <row r="1666" spans="1:8" x14ac:dyDescent="0.3">
      <c r="A1666" s="4" t="s">
        <v>1759</v>
      </c>
      <c r="B1666" s="5" t="s">
        <v>29</v>
      </c>
      <c r="C1666" s="6">
        <v>45840</v>
      </c>
      <c r="D1666" s="7">
        <v>788656</v>
      </c>
      <c r="E1666" s="5" t="str">
        <f>_xlfn.XLOOKUP(D1666,[1]!Tabela24[Código consultor],[1]!Tabela24[Consultor Venda],0,0,1)</f>
        <v>PAR - STB - PAP - JOY TELECOM - GABRIELA ALVES DE GODOY</v>
      </c>
      <c r="F1666" s="5" t="str">
        <f>_xlfn.XLOOKUP(D1666,[1]!Tabela24[Código consultor],[1]!Tabela24[Canal Consultor],0,0,1)</f>
        <v>PAR_DIG</v>
      </c>
      <c r="G1666" s="5" t="str">
        <f>_xlfn.XLOOKUP(B1666,[1]!Tabela1[[Cidades ]],[1]!Tabela1[Regional],0,0,1)</f>
        <v>Adilson</v>
      </c>
      <c r="H1666" s="8" t="str">
        <f>_xlfn.XLOOKUP(B1666,[1]!Tabela1[[Cidades ]],[1]!Tabela1[Gerente],0,0,1)</f>
        <v>Demais coordenadores</v>
      </c>
    </row>
    <row r="1667" spans="1:8" x14ac:dyDescent="0.3">
      <c r="A1667" s="9" t="s">
        <v>1760</v>
      </c>
      <c r="B1667" s="10" t="s">
        <v>38</v>
      </c>
      <c r="C1667" s="11">
        <v>45840</v>
      </c>
      <c r="D1667" s="12">
        <v>235841</v>
      </c>
      <c r="E1667" s="5" t="str">
        <f>_xlfn.XLOOKUP(D1667,[1]!Tabela24[Código consultor],[1]!Tabela24[Consultor Venda],0,0,1)</f>
        <v>DIG - CCO - KAUANA BONI</v>
      </c>
      <c r="F1667" s="5" t="str">
        <f>_xlfn.XLOOKUP(D1667,[1]!Tabela24[Código consultor],[1]!Tabela24[Canal Consultor],0,0,1)</f>
        <v>DIGITAL</v>
      </c>
      <c r="G1667" s="10" t="str">
        <f>_xlfn.XLOOKUP(B1667,[1]!Tabela1[[Cidades ]],[1]!Tabela1[Regional],0,0,1)</f>
        <v>Jean</v>
      </c>
      <c r="H1667" s="13" t="str">
        <f>_xlfn.XLOOKUP(B1667,[1]!Tabela1[[Cidades ]],[1]!Tabela1[Gerente],0,0,1)</f>
        <v>Demais coordenadores</v>
      </c>
    </row>
    <row r="1668" spans="1:8" x14ac:dyDescent="0.3">
      <c r="A1668" s="4" t="s">
        <v>1761</v>
      </c>
      <c r="B1668" s="5" t="s">
        <v>26</v>
      </c>
      <c r="C1668" s="6">
        <v>45840</v>
      </c>
      <c r="D1668" s="7">
        <v>781649</v>
      </c>
      <c r="E1668" s="5" t="str">
        <f>_xlfn.XLOOKUP(D1668,[1]!Tabela24[Código consultor],[1]!Tabela24[Consultor Venda],0,0,1)</f>
        <v>COM - GTI - EMILLY CARDOSO BALTHAZAR</v>
      </c>
      <c r="F1668" s="5" t="str">
        <f>_xlfn.XLOOKUP(D1668,[1]!Tabela24[Código consultor],[1]!Tabela24[Canal Consultor],0,0,1)</f>
        <v>Pap</v>
      </c>
      <c r="G1668" s="5" t="str">
        <f>_xlfn.XLOOKUP(B1668,[1]!Tabela1[[Cidades ]],[1]!Tabela1[Regional],0,0,1)</f>
        <v>Magno</v>
      </c>
      <c r="H1668" s="8" t="str">
        <f>_xlfn.XLOOKUP(B1668,[1]!Tabela1[[Cidades ]],[1]!Tabela1[Gerente],0,0,1)</f>
        <v>Demais coordenadores</v>
      </c>
    </row>
    <row r="1669" spans="1:8" x14ac:dyDescent="0.3">
      <c r="A1669" s="9" t="s">
        <v>1762</v>
      </c>
      <c r="B1669" s="10" t="s">
        <v>19</v>
      </c>
      <c r="C1669" s="11">
        <v>45840</v>
      </c>
      <c r="D1669" s="12">
        <v>882296</v>
      </c>
      <c r="E1669" s="5" t="str">
        <f>_xlfn.XLOOKUP(D1669,[1]!Tabela24[Código consultor],[1]!Tabela24[Consultor Venda],0,0,1)</f>
        <v>COM - CHN - ANIBAL DE SOUZA NETO</v>
      </c>
      <c r="F1669" s="5" t="str">
        <f>_xlfn.XLOOKUP(D1669,[1]!Tabela24[Código consultor],[1]!Tabela24[Canal Consultor],0,0,1)</f>
        <v>Pap</v>
      </c>
      <c r="G1669" s="10" t="str">
        <f>_xlfn.XLOOKUP(B1669,[1]!Tabela1[[Cidades ]],[1]!Tabela1[Regional],0,0,1)</f>
        <v>Magno</v>
      </c>
      <c r="H1669" s="13" t="str">
        <f>_xlfn.XLOOKUP(B1669,[1]!Tabela1[[Cidades ]],[1]!Tabela1[Gerente],0,0,1)</f>
        <v>Demais coordenadores</v>
      </c>
    </row>
    <row r="1670" spans="1:8" x14ac:dyDescent="0.3">
      <c r="A1670" s="4" t="s">
        <v>1763</v>
      </c>
      <c r="B1670" s="5" t="s">
        <v>11</v>
      </c>
      <c r="C1670" s="6">
        <v>45840</v>
      </c>
      <c r="D1670" s="7">
        <v>827465</v>
      </c>
      <c r="E1670" s="5" t="str">
        <f>_xlfn.XLOOKUP(D1670,[1]!Tabela24[Código consultor],[1]!Tabela24[Consultor Venda],0,0,1)</f>
        <v>DIG - ATV - TAINARA RODRIGUES CORDEIRO</v>
      </c>
      <c r="F1670" s="5" t="str">
        <f>_xlfn.XLOOKUP(D1670,[1]!Tabela24[Código consultor],[1]!Tabela24[Canal Consultor],0,0,1)</f>
        <v>Televendas Ativo</v>
      </c>
      <c r="G1670" s="5" t="str">
        <f>_xlfn.XLOOKUP(B1670,[1]!Tabela1[[Cidades ]],[1]!Tabela1[Regional],0,0,1)</f>
        <v>Magno</v>
      </c>
      <c r="H1670" s="8" t="str">
        <f>_xlfn.XLOOKUP(B1670,[1]!Tabela1[[Cidades ]],[1]!Tabela1[Gerente],0,0,1)</f>
        <v>Demais coordenadores</v>
      </c>
    </row>
    <row r="1671" spans="1:8" x14ac:dyDescent="0.3">
      <c r="A1671" s="9" t="s">
        <v>1764</v>
      </c>
      <c r="B1671" s="10" t="s">
        <v>23</v>
      </c>
      <c r="C1671" s="11">
        <v>45840</v>
      </c>
      <c r="D1671" s="12">
        <v>876162</v>
      </c>
      <c r="E1671" s="5" t="str">
        <f>_xlfn.XLOOKUP(D1671,[1]!Tabela24[Código consultor],[1]!Tabela24[Consultor Venda],0,0,1)</f>
        <v>COM - CAN - PAULA VITORIA ELIAS VIEIRA</v>
      </c>
      <c r="F1671" s="5" t="str">
        <f>_xlfn.XLOOKUP(D1671,[1]!Tabela24[Código consultor],[1]!Tabela24[Canal Consultor],0,0,1)</f>
        <v>Pap</v>
      </c>
      <c r="G1671" s="10" t="str">
        <f>_xlfn.XLOOKUP(B1671,[1]!Tabela1[[Cidades ]],[1]!Tabela1[Regional],0,0,1)</f>
        <v>Magno</v>
      </c>
      <c r="H1671" s="13" t="str">
        <f>_xlfn.XLOOKUP(B1671,[1]!Tabela1[[Cidades ]],[1]!Tabela1[Gerente],0,0,1)</f>
        <v>Demais coordenadores</v>
      </c>
    </row>
    <row r="1672" spans="1:8" x14ac:dyDescent="0.3">
      <c r="A1672" s="4" t="s">
        <v>1765</v>
      </c>
      <c r="B1672" s="5" t="s">
        <v>19</v>
      </c>
      <c r="C1672" s="6">
        <v>45840</v>
      </c>
      <c r="D1672" s="7">
        <v>653931</v>
      </c>
      <c r="E1672" s="5" t="str">
        <f>_xlfn.XLOOKUP(D1672,[1]!Tabela24[Código consultor],[1]!Tabela24[Consultor Venda],0,0,1)</f>
        <v>COM - CHN - SANTIAGO DA SILVA RODRIGUES</v>
      </c>
      <c r="F1672" s="5" t="str">
        <f>_xlfn.XLOOKUP(D1672,[1]!Tabela24[Código consultor],[1]!Tabela24[Canal Consultor],0,0,1)</f>
        <v>Pap</v>
      </c>
      <c r="G1672" s="5" t="str">
        <f>_xlfn.XLOOKUP(B1672,[1]!Tabela1[[Cidades ]],[1]!Tabela1[Regional],0,0,1)</f>
        <v>Magno</v>
      </c>
      <c r="H1672" s="8" t="str">
        <f>_xlfn.XLOOKUP(B1672,[1]!Tabela1[[Cidades ]],[1]!Tabela1[Gerente],0,0,1)</f>
        <v>Demais coordenadores</v>
      </c>
    </row>
    <row r="1673" spans="1:8" x14ac:dyDescent="0.3">
      <c r="A1673" s="9" t="s">
        <v>1766</v>
      </c>
      <c r="B1673" s="10" t="s">
        <v>42</v>
      </c>
      <c r="C1673" s="11">
        <v>45840</v>
      </c>
      <c r="D1673" s="12">
        <v>836541</v>
      </c>
      <c r="E1673" s="5" t="str">
        <f>_xlfn.XLOOKUP(D1673,[1]!Tabela24[Código consultor],[1]!Tabela24[Consultor Venda],0,0,1)</f>
        <v>COM - CDA - SARA DA SILVA LESSE</v>
      </c>
      <c r="F1673" s="5" t="str">
        <f>_xlfn.XLOOKUP(D1673,[1]!Tabela24[Código consultor],[1]!Tabela24[Canal Consultor],0,0,1)</f>
        <v>INTERNO</v>
      </c>
      <c r="G1673" s="10" t="str">
        <f>_xlfn.XLOOKUP(B1673,[1]!Tabela1[[Cidades ]],[1]!Tabela1[Regional],0,0,1)</f>
        <v>Maycon</v>
      </c>
      <c r="H1673" s="13" t="str">
        <f>_xlfn.XLOOKUP(B1673,[1]!Tabela1[[Cidades ]],[1]!Tabela1[Gerente],0,0,1)</f>
        <v>Demais coordenadores</v>
      </c>
    </row>
    <row r="1674" spans="1:8" x14ac:dyDescent="0.3">
      <c r="A1674" s="4" t="s">
        <v>1767</v>
      </c>
      <c r="B1674" s="5" t="s">
        <v>31</v>
      </c>
      <c r="C1674" s="6">
        <v>45840</v>
      </c>
      <c r="D1674" s="7">
        <v>864414</v>
      </c>
      <c r="E1674" s="5" t="str">
        <f>_xlfn.XLOOKUP(D1674,[1]!Tabela24[Código consultor],[1]!Tabela24[Consultor Venda],0,0,1)</f>
        <v>COM - CCO - NICOLE VITORIA COMELLI</v>
      </c>
      <c r="F1674" s="5" t="str">
        <f>_xlfn.XLOOKUP(D1674,[1]!Tabela24[Código consultor],[1]!Tabela24[Canal Consultor],0,0,1)</f>
        <v>INTERNO</v>
      </c>
      <c r="G1674" s="5" t="str">
        <f>_xlfn.XLOOKUP(B1674,[1]!Tabela1[[Cidades ]],[1]!Tabela1[Regional],0,0,1)</f>
        <v>Maycon</v>
      </c>
      <c r="H1674" s="8" t="str">
        <f>_xlfn.XLOOKUP(B1674,[1]!Tabela1[[Cidades ]],[1]!Tabela1[Gerente],0,0,1)</f>
        <v>Demais coordenadores</v>
      </c>
    </row>
    <row r="1675" spans="1:8" x14ac:dyDescent="0.3">
      <c r="A1675" s="9" t="s">
        <v>1768</v>
      </c>
      <c r="B1675" s="10" t="s">
        <v>23</v>
      </c>
      <c r="C1675" s="11">
        <v>45840</v>
      </c>
      <c r="D1675" s="12">
        <v>262147</v>
      </c>
      <c r="E1675" s="5" t="str">
        <f>_xlfn.XLOOKUP(D1675,[1]!Tabela24[Código consultor],[1]!Tabela24[Consultor Venda],0,0,1)</f>
        <v>COM - GTI - ALESANDRA PETRY BRAZEIRO</v>
      </c>
      <c r="F1675" s="5" t="str">
        <f>_xlfn.XLOOKUP(D1675,[1]!Tabela24[Código consultor],[1]!Tabela24[Canal Consultor],0,0,1)</f>
        <v>Pap</v>
      </c>
      <c r="G1675" s="10" t="str">
        <f>_xlfn.XLOOKUP(B1675,[1]!Tabela1[[Cidades ]],[1]!Tabela1[Regional],0,0,1)</f>
        <v>Magno</v>
      </c>
      <c r="H1675" s="13" t="str">
        <f>_xlfn.XLOOKUP(B1675,[1]!Tabela1[[Cidades ]],[1]!Tabela1[Gerente],0,0,1)</f>
        <v>Demais coordenadores</v>
      </c>
    </row>
    <row r="1676" spans="1:8" x14ac:dyDescent="0.3">
      <c r="A1676" s="4" t="s">
        <v>1769</v>
      </c>
      <c r="B1676" s="5" t="s">
        <v>13</v>
      </c>
      <c r="C1676" s="6">
        <v>45840</v>
      </c>
      <c r="D1676" s="7">
        <v>788656</v>
      </c>
      <c r="E1676" s="5" t="str">
        <f>_xlfn.XLOOKUP(D1676,[1]!Tabela24[Código consultor],[1]!Tabela24[Consultor Venda],0,0,1)</f>
        <v>PAR - STB - PAP - JOY TELECOM - GABRIELA ALVES DE GODOY</v>
      </c>
      <c r="F1676" s="5" t="str">
        <f>_xlfn.XLOOKUP(D1676,[1]!Tabela24[Código consultor],[1]!Tabela24[Canal Consultor],0,0,1)</f>
        <v>PAR_DIG</v>
      </c>
      <c r="G1676" s="5" t="str">
        <f>_xlfn.XLOOKUP(B1676,[1]!Tabela1[[Cidades ]],[1]!Tabela1[Regional],0,0,1)</f>
        <v>Alisson</v>
      </c>
      <c r="H1676" s="8" t="str">
        <f>_xlfn.XLOOKUP(B1676,[1]!Tabela1[[Cidades ]],[1]!Tabela1[Gerente],0,0,1)</f>
        <v>Ariana</v>
      </c>
    </row>
    <row r="1677" spans="1:8" x14ac:dyDescent="0.3">
      <c r="A1677" s="9" t="s">
        <v>1770</v>
      </c>
      <c r="B1677" s="10" t="s">
        <v>10</v>
      </c>
      <c r="C1677" s="11">
        <v>45840</v>
      </c>
      <c r="D1677" s="12">
        <v>827465</v>
      </c>
      <c r="E1677" s="5" t="str">
        <f>_xlfn.XLOOKUP(D1677,[1]!Tabela24[Código consultor],[1]!Tabela24[Consultor Venda],0,0,1)</f>
        <v>DIG - ATV - TAINARA RODRIGUES CORDEIRO</v>
      </c>
      <c r="F1677" s="5" t="str">
        <f>_xlfn.XLOOKUP(D1677,[1]!Tabela24[Código consultor],[1]!Tabela24[Canal Consultor],0,0,1)</f>
        <v>Televendas Ativo</v>
      </c>
      <c r="G1677" s="10" t="str">
        <f>_xlfn.XLOOKUP(B1677,[1]!Tabela1[[Cidades ]],[1]!Tabela1[Regional],0,0,1)</f>
        <v>Jean</v>
      </c>
      <c r="H1677" s="13" t="str">
        <f>_xlfn.XLOOKUP(B1677,[1]!Tabela1[[Cidades ]],[1]!Tabela1[Gerente],0,0,1)</f>
        <v>Demais coordenadores</v>
      </c>
    </row>
    <row r="1678" spans="1:8" x14ac:dyDescent="0.3">
      <c r="A1678" s="4" t="s">
        <v>1771</v>
      </c>
      <c r="B1678" s="5" t="s">
        <v>31</v>
      </c>
      <c r="C1678" s="6">
        <v>45840</v>
      </c>
      <c r="D1678" s="7">
        <v>706513</v>
      </c>
      <c r="E1678" s="5" t="str">
        <f>_xlfn.XLOOKUP(D1678,[1]!Tabela24[Código consultor],[1]!Tabela24[Consultor Venda],0,0,1)</f>
        <v>COM - CCO - KETLYN MARINS</v>
      </c>
      <c r="F1678" s="5" t="str">
        <f>_xlfn.XLOOKUP(D1678,[1]!Tabela24[Código consultor],[1]!Tabela24[Canal Consultor],0,0,1)</f>
        <v>INTERNO</v>
      </c>
      <c r="G1678" s="5" t="str">
        <f>_xlfn.XLOOKUP(B1678,[1]!Tabela1[[Cidades ]],[1]!Tabela1[Regional],0,0,1)</f>
        <v>Maycon</v>
      </c>
      <c r="H1678" s="8" t="str">
        <f>_xlfn.XLOOKUP(B1678,[1]!Tabela1[[Cidades ]],[1]!Tabela1[Gerente],0,0,1)</f>
        <v>Demais coordenadores</v>
      </c>
    </row>
    <row r="1679" spans="1:8" x14ac:dyDescent="0.3">
      <c r="A1679" s="9" t="s">
        <v>1772</v>
      </c>
      <c r="B1679" s="10" t="s">
        <v>43</v>
      </c>
      <c r="C1679" s="11">
        <v>45840</v>
      </c>
      <c r="D1679" s="12">
        <v>694166</v>
      </c>
      <c r="E1679" s="5" t="str">
        <f>_xlfn.XLOOKUP(D1679,[1]!Tabela24[Código consultor],[1]!Tabela24[Consultor Venda],0,0,1)</f>
        <v>DIG - CCO - CARINE CORREA SOARES</v>
      </c>
      <c r="F1679" s="5" t="str">
        <f>_xlfn.XLOOKUP(D1679,[1]!Tabela24[Código consultor],[1]!Tabela24[Canal Consultor],0,0,1)</f>
        <v>DIGITAL</v>
      </c>
      <c r="G1679" s="10" t="str">
        <f>_xlfn.XLOOKUP(B1679,[1]!Tabela1[[Cidades ]],[1]!Tabela1[Regional],0,0,1)</f>
        <v>Jean</v>
      </c>
      <c r="H1679" s="13" t="str">
        <f>_xlfn.XLOOKUP(B1679,[1]!Tabela1[[Cidades ]],[1]!Tabela1[Gerente],0,0,1)</f>
        <v>Demais coordenadores</v>
      </c>
    </row>
    <row r="1680" spans="1:8" x14ac:dyDescent="0.3">
      <c r="A1680" s="4" t="s">
        <v>1773</v>
      </c>
      <c r="B1680" s="5" t="s">
        <v>32</v>
      </c>
      <c r="C1680" s="6">
        <v>45840</v>
      </c>
      <c r="D1680" s="7">
        <v>610972</v>
      </c>
      <c r="E1680" s="5" t="str">
        <f>_xlfn.XLOOKUP(D1680,[1]!Tabela24[Código consultor],[1]!Tabela24[Consultor Venda],0,0,1)</f>
        <v>COM - CPB - MARINARA SOUZA DE OLIVEIRA</v>
      </c>
      <c r="F1680" s="5" t="str">
        <f>_xlfn.XLOOKUP(D1680,[1]!Tabela24[Código consultor],[1]!Tabela24[Canal Consultor],0,0,1)</f>
        <v>INTERNO</v>
      </c>
      <c r="G1680" s="5" t="str">
        <f>_xlfn.XLOOKUP(B1680,[1]!Tabela1[[Cidades ]],[1]!Tabela1[Regional],0,0,1)</f>
        <v>Jean</v>
      </c>
      <c r="H1680" s="8" t="str">
        <f>_xlfn.XLOOKUP(B1680,[1]!Tabela1[[Cidades ]],[1]!Tabela1[Gerente],0,0,1)</f>
        <v>Demais coordenadores</v>
      </c>
    </row>
    <row r="1681" spans="1:8" x14ac:dyDescent="0.3">
      <c r="A1681" s="9" t="s">
        <v>1774</v>
      </c>
      <c r="B1681" s="10" t="s">
        <v>18</v>
      </c>
      <c r="C1681" s="11">
        <v>45840</v>
      </c>
      <c r="D1681" s="12">
        <v>788656</v>
      </c>
      <c r="E1681" s="5" t="str">
        <f>_xlfn.XLOOKUP(D1681,[1]!Tabela24[Código consultor],[1]!Tabela24[Consultor Venda],0,0,1)</f>
        <v>PAR - STB - PAP - JOY TELECOM - GABRIELA ALVES DE GODOY</v>
      </c>
      <c r="F1681" s="5" t="str">
        <f>_xlfn.XLOOKUP(D1681,[1]!Tabela24[Código consultor],[1]!Tabela24[Canal Consultor],0,0,1)</f>
        <v>PAR_DIG</v>
      </c>
      <c r="G1681" s="10" t="str">
        <f>_xlfn.XLOOKUP(B1681,[1]!Tabela1[[Cidades ]],[1]!Tabela1[Regional],0,0,1)</f>
        <v>Maycon</v>
      </c>
      <c r="H1681" s="13" t="str">
        <f>_xlfn.XLOOKUP(B1681,[1]!Tabela1[[Cidades ]],[1]!Tabela1[Gerente],0,0,1)</f>
        <v>Demais coordenadores</v>
      </c>
    </row>
    <row r="1682" spans="1:8" x14ac:dyDescent="0.3">
      <c r="A1682" s="4" t="s">
        <v>1775</v>
      </c>
      <c r="B1682" s="5" t="s">
        <v>31</v>
      </c>
      <c r="C1682" s="6">
        <v>45840</v>
      </c>
      <c r="D1682" s="7">
        <v>666428</v>
      </c>
      <c r="E1682" s="5" t="str">
        <f>_xlfn.XLOOKUP(D1682,[1]!Tabela24[Código consultor],[1]!Tabela24[Consultor Venda],0,0,1)</f>
        <v>COM - CCO - ALESANDRA FRANCA CAMINERO</v>
      </c>
      <c r="F1682" s="5" t="str">
        <f>_xlfn.XLOOKUP(D1682,[1]!Tabela24[Código consultor],[1]!Tabela24[Canal Consultor],0,0,1)</f>
        <v>INTERNO</v>
      </c>
      <c r="G1682" s="5" t="str">
        <f>_xlfn.XLOOKUP(B1682,[1]!Tabela1[[Cidades ]],[1]!Tabela1[Regional],0,0,1)</f>
        <v>Maycon</v>
      </c>
      <c r="H1682" s="8" t="str">
        <f>_xlfn.XLOOKUP(B1682,[1]!Tabela1[[Cidades ]],[1]!Tabela1[Gerente],0,0,1)</f>
        <v>Demais coordenadores</v>
      </c>
    </row>
    <row r="1683" spans="1:8" x14ac:dyDescent="0.3">
      <c r="A1683" s="9" t="s">
        <v>1776</v>
      </c>
      <c r="B1683" s="10" t="s">
        <v>88</v>
      </c>
      <c r="C1683" s="11">
        <v>45840</v>
      </c>
      <c r="D1683" s="12">
        <v>683063</v>
      </c>
      <c r="E1683" s="5" t="str">
        <f>_xlfn.XLOOKUP(D1683,[1]!Tabela24[Código consultor],[1]!Tabela24[Consultor Venda],0,0,1)</f>
        <v>COM - CUA - BRUNO MANOEL DO NASCIMENTO</v>
      </c>
      <c r="F1683" s="5" t="str">
        <f>_xlfn.XLOOKUP(D1683,[1]!Tabela24[Código consultor],[1]!Tabela24[Canal Consultor],0,0,1)</f>
        <v>Pap</v>
      </c>
      <c r="G1683" s="10" t="str">
        <f>_xlfn.XLOOKUP(B1683,[1]!Tabela1[[Cidades ]],[1]!Tabela1[Regional],0,0,1)</f>
        <v>Marcio</v>
      </c>
      <c r="H1683" s="13" t="str">
        <f>_xlfn.XLOOKUP(B1683,[1]!Tabela1[[Cidades ]],[1]!Tabela1[Gerente],0,0,1)</f>
        <v>Demais coordenadores</v>
      </c>
    </row>
    <row r="1684" spans="1:8" x14ac:dyDescent="0.3">
      <c r="A1684" s="4" t="s">
        <v>1777</v>
      </c>
      <c r="B1684" s="5" t="s">
        <v>64</v>
      </c>
      <c r="C1684" s="6">
        <v>45840</v>
      </c>
      <c r="D1684" s="7">
        <v>40828</v>
      </c>
      <c r="E1684" s="5" t="str">
        <f>_xlfn.XLOOKUP(D1684,[1]!Tabela24[Código consultor],[1]!Tabela24[Consultor Venda],0,0,1)</f>
        <v>COM - PGO - CRISTIANE APARECIDA CHIAMULERA</v>
      </c>
      <c r="F1684" s="5" t="str">
        <f>_xlfn.XLOOKUP(D1684,[1]!Tabela24[Código consultor],[1]!Tabela24[Canal Consultor],0,0,1)</f>
        <v>Pap</v>
      </c>
      <c r="G1684" s="5" t="str">
        <f>_xlfn.XLOOKUP(B1684,[1]!Tabela1[[Cidades ]],[1]!Tabela1[Regional],0,0,1)</f>
        <v>Jean</v>
      </c>
      <c r="H1684" s="8" t="str">
        <f>_xlfn.XLOOKUP(B1684,[1]!Tabela1[[Cidades ]],[1]!Tabela1[Gerente],0,0,1)</f>
        <v>Demais coordenadores</v>
      </c>
    </row>
    <row r="1685" spans="1:8" x14ac:dyDescent="0.3">
      <c r="A1685" s="9" t="s">
        <v>1778</v>
      </c>
      <c r="B1685" s="10" t="s">
        <v>23</v>
      </c>
      <c r="C1685" s="11">
        <v>45840</v>
      </c>
      <c r="D1685" s="12">
        <v>767508</v>
      </c>
      <c r="E1685" s="5" t="str">
        <f>_xlfn.XLOOKUP(D1685,[1]!Tabela24[Código consultor],[1]!Tabela24[Consultor Venda],0,0,1)</f>
        <v>COM - CAN - JULIANA DA SILVA ASSUNCAO</v>
      </c>
      <c r="F1685" s="5" t="str">
        <f>_xlfn.XLOOKUP(D1685,[1]!Tabela24[Código consultor],[1]!Tabela24[Canal Consultor],0,0,1)</f>
        <v>Pap</v>
      </c>
      <c r="G1685" s="10" t="str">
        <f>_xlfn.XLOOKUP(B1685,[1]!Tabela1[[Cidades ]],[1]!Tabela1[Regional],0,0,1)</f>
        <v>Magno</v>
      </c>
      <c r="H1685" s="13" t="str">
        <f>_xlfn.XLOOKUP(B1685,[1]!Tabela1[[Cidades ]],[1]!Tabela1[Gerente],0,0,1)</f>
        <v>Demais coordenadores</v>
      </c>
    </row>
    <row r="1686" spans="1:8" x14ac:dyDescent="0.3">
      <c r="A1686" s="4" t="s">
        <v>1779</v>
      </c>
      <c r="B1686" s="5" t="s">
        <v>50</v>
      </c>
      <c r="C1686" s="6">
        <v>45840</v>
      </c>
      <c r="D1686" s="7">
        <v>822704</v>
      </c>
      <c r="E1686" s="5" t="str">
        <f>_xlfn.XLOOKUP(D1686,[1]!Tabela24[Código consultor],[1]!Tabela24[Consultor Venda],0,0,1)</f>
        <v>PAR - PAP - V S MONTEIRO - VINICIUS SILVA MONTEIRO</v>
      </c>
      <c r="F1686" s="5" t="str">
        <f>_xlfn.XLOOKUP(D1686,[1]!Tabela24[Código consultor],[1]!Tabela24[Canal Consultor],0,0,1)</f>
        <v>PAR</v>
      </c>
      <c r="G1686" s="5" t="str">
        <f>_xlfn.XLOOKUP(B1686,[1]!Tabela1[[Cidades ]],[1]!Tabela1[Regional],0,0,1)</f>
        <v>Marcio</v>
      </c>
      <c r="H1686" s="8" t="str">
        <f>_xlfn.XLOOKUP(B1686,[1]!Tabela1[[Cidades ]],[1]!Tabela1[Gerente],0,0,1)</f>
        <v>Demais coordenadores</v>
      </c>
    </row>
    <row r="1687" spans="1:8" x14ac:dyDescent="0.3">
      <c r="A1687" s="9" t="s">
        <v>1780</v>
      </c>
      <c r="B1687" s="10" t="s">
        <v>19</v>
      </c>
      <c r="C1687" s="11">
        <v>45840</v>
      </c>
      <c r="D1687" s="12">
        <v>729970</v>
      </c>
      <c r="E1687" s="5" t="str">
        <f>_xlfn.XLOOKUP(D1687,[1]!Tabela24[Código consultor],[1]!Tabela24[Consultor Venda],0,0,1)</f>
        <v>COM - UMR - VINICIUS HENRIQUE HUSS DA MOTA</v>
      </c>
      <c r="F1687" s="5" t="str">
        <f>_xlfn.XLOOKUP(D1687,[1]!Tabela24[Código consultor],[1]!Tabela24[Canal Consultor],0,0,1)</f>
        <v>INTERNO</v>
      </c>
      <c r="G1687" s="10" t="str">
        <f>_xlfn.XLOOKUP(B1687,[1]!Tabela1[[Cidades ]],[1]!Tabela1[Regional],0,0,1)</f>
        <v>Magno</v>
      </c>
      <c r="H1687" s="13" t="str">
        <f>_xlfn.XLOOKUP(B1687,[1]!Tabela1[[Cidades ]],[1]!Tabela1[Gerente],0,0,1)</f>
        <v>Demais coordenadores</v>
      </c>
    </row>
    <row r="1688" spans="1:8" x14ac:dyDescent="0.3">
      <c r="A1688" s="4" t="s">
        <v>1781</v>
      </c>
      <c r="B1688" s="5" t="s">
        <v>44</v>
      </c>
      <c r="C1688" s="6">
        <v>45840</v>
      </c>
      <c r="D1688" s="7">
        <v>636843</v>
      </c>
      <c r="E1688" s="5" t="str">
        <f>_xlfn.XLOOKUP(D1688,[1]!Tabela24[Código consultor],[1]!Tabela24[Consultor Venda],0,0,1)</f>
        <v>COM - IRI - MICHEL DOUGLAS PERUCELI</v>
      </c>
      <c r="F1688" s="5" t="str">
        <f>_xlfn.XLOOKUP(D1688,[1]!Tabela24[Código consultor],[1]!Tabela24[Canal Consultor],0,0,1)</f>
        <v>Pap</v>
      </c>
      <c r="G1688" s="5" t="str">
        <f>_xlfn.XLOOKUP(B1688,[1]!Tabela1[[Cidades ]],[1]!Tabela1[Regional],0,0,1)</f>
        <v>Jean</v>
      </c>
      <c r="H1688" s="8" t="str">
        <f>_xlfn.XLOOKUP(B1688,[1]!Tabela1[[Cidades ]],[1]!Tabela1[Gerente],0,0,1)</f>
        <v>Demais coordenadores</v>
      </c>
    </row>
    <row r="1689" spans="1:8" x14ac:dyDescent="0.3">
      <c r="A1689" s="9" t="s">
        <v>1782</v>
      </c>
      <c r="B1689" s="10" t="s">
        <v>11</v>
      </c>
      <c r="C1689" s="11">
        <v>45840</v>
      </c>
      <c r="D1689" s="12">
        <v>788656</v>
      </c>
      <c r="E1689" s="5" t="str">
        <f>_xlfn.XLOOKUP(D1689,[1]!Tabela24[Código consultor],[1]!Tabela24[Consultor Venda],0,0,1)</f>
        <v>PAR - STB - PAP - JOY TELECOM - GABRIELA ALVES DE GODOY</v>
      </c>
      <c r="F1689" s="5" t="str">
        <f>_xlfn.XLOOKUP(D1689,[1]!Tabela24[Código consultor],[1]!Tabela24[Canal Consultor],0,0,1)</f>
        <v>PAR_DIG</v>
      </c>
      <c r="G1689" s="10" t="str">
        <f>_xlfn.XLOOKUP(B1689,[1]!Tabela1[[Cidades ]],[1]!Tabela1[Regional],0,0,1)</f>
        <v>Magno</v>
      </c>
      <c r="H1689" s="13" t="str">
        <f>_xlfn.XLOOKUP(B1689,[1]!Tabela1[[Cidades ]],[1]!Tabela1[Gerente],0,0,1)</f>
        <v>Demais coordenadores</v>
      </c>
    </row>
    <row r="1690" spans="1:8" x14ac:dyDescent="0.3">
      <c r="A1690" s="4" t="s">
        <v>1783</v>
      </c>
      <c r="B1690" s="5" t="s">
        <v>10</v>
      </c>
      <c r="C1690" s="6">
        <v>45840</v>
      </c>
      <c r="D1690" s="7">
        <v>525458</v>
      </c>
      <c r="E1690" s="5" t="str">
        <f>_xlfn.XLOOKUP(D1690,[1]!Tabela24[Código consultor],[1]!Tabela24[Consultor Venda],0,0,1)</f>
        <v>PAR - ADM - GRP - FIGUEREDO MOBILE  - JOSELIO O. P. JUNIOR</v>
      </c>
      <c r="F1690" s="5" t="str">
        <f>_xlfn.XLOOKUP(D1690,[1]!Tabela24[Código consultor],[1]!Tabela24[Canal Consultor],0,0,1)</f>
        <v>PAR</v>
      </c>
      <c r="G1690" s="5" t="str">
        <f>_xlfn.XLOOKUP(B1690,[1]!Tabela1[[Cidades ]],[1]!Tabela1[Regional],0,0,1)</f>
        <v>Jean</v>
      </c>
      <c r="H1690" s="8" t="str">
        <f>_xlfn.XLOOKUP(B1690,[1]!Tabela1[[Cidades ]],[1]!Tabela1[Gerente],0,0,1)</f>
        <v>Demais coordenadores</v>
      </c>
    </row>
    <row r="1691" spans="1:8" x14ac:dyDescent="0.3">
      <c r="A1691" s="9" t="s">
        <v>1784</v>
      </c>
      <c r="B1691" s="10" t="s">
        <v>85</v>
      </c>
      <c r="C1691" s="11">
        <v>45840</v>
      </c>
      <c r="D1691" s="12">
        <v>38153</v>
      </c>
      <c r="E1691" s="5" t="str">
        <f>_xlfn.XLOOKUP(D1691,[1]!Tabela24[Código consultor],[1]!Tabela24[Consultor Venda],0,0,1)</f>
        <v>COM - MVH - MARLEI TERESINHA ROTHER</v>
      </c>
      <c r="F1691" s="5" t="str">
        <f>_xlfn.XLOOKUP(D1691,[1]!Tabela24[Código consultor],[1]!Tabela24[Canal Consultor],0,0,1)</f>
        <v>INTERNO</v>
      </c>
      <c r="G1691" s="10" t="str">
        <f>_xlfn.XLOOKUP(B1691,[1]!Tabela1[[Cidades ]],[1]!Tabela1[Regional],0,0,1)</f>
        <v>Maycon</v>
      </c>
      <c r="H1691" s="13" t="str">
        <f>_xlfn.XLOOKUP(B1691,[1]!Tabela1[[Cidades ]],[1]!Tabela1[Gerente],0,0,1)</f>
        <v>Demais coordenadores</v>
      </c>
    </row>
    <row r="1692" spans="1:8" x14ac:dyDescent="0.3">
      <c r="A1692" s="4" t="s">
        <v>1785</v>
      </c>
      <c r="B1692" s="5" t="s">
        <v>71</v>
      </c>
      <c r="C1692" s="6">
        <v>45840</v>
      </c>
      <c r="D1692" s="7">
        <v>368409</v>
      </c>
      <c r="E1692" s="5" t="str">
        <f>_xlfn.XLOOKUP(D1692,[1]!Tabela24[Código consultor],[1]!Tabela24[Consultor Venda],0,0,1)</f>
        <v>COM - IGA - GABRIELLE GARCIA DA COSTA</v>
      </c>
      <c r="F1692" s="5" t="str">
        <f>_xlfn.XLOOKUP(D1692,[1]!Tabela24[Código consultor],[1]!Tabela24[Canal Consultor],0,0,1)</f>
        <v>INTERNO</v>
      </c>
      <c r="G1692" s="5" t="str">
        <f>_xlfn.XLOOKUP(B1692,[1]!Tabela1[[Cidades ]],[1]!Tabela1[Regional],0,0,1)</f>
        <v>Jean</v>
      </c>
      <c r="H1692" s="8" t="str">
        <f>_xlfn.XLOOKUP(B1692,[1]!Tabela1[[Cidades ]],[1]!Tabela1[Gerente],0,0,1)</f>
        <v>Demais coordenadores</v>
      </c>
    </row>
    <row r="1693" spans="1:8" x14ac:dyDescent="0.3">
      <c r="A1693" s="9" t="s">
        <v>1786</v>
      </c>
      <c r="B1693" s="10" t="s">
        <v>8</v>
      </c>
      <c r="C1693" s="11">
        <v>45840</v>
      </c>
      <c r="D1693" s="12">
        <v>725079</v>
      </c>
      <c r="E1693" s="5" t="str">
        <f>_xlfn.XLOOKUP(D1693,[1]!Tabela24[Código consultor],[1]!Tabela24[Consultor Venda],0,0,1)</f>
        <v>COM - UMR  - WENDY CAROLINE PELEGRINI</v>
      </c>
      <c r="F1693" s="5" t="str">
        <f>_xlfn.XLOOKUP(D1693,[1]!Tabela24[Código consultor],[1]!Tabela24[Canal Consultor],0,0,1)</f>
        <v>INTERNO</v>
      </c>
      <c r="G1693" s="10" t="str">
        <f>_xlfn.XLOOKUP(B1693,[1]!Tabela1[[Cidades ]],[1]!Tabela1[Regional],0,0,1)</f>
        <v>Adilson</v>
      </c>
      <c r="H1693" s="13" t="str">
        <f>_xlfn.XLOOKUP(B1693,[1]!Tabela1[[Cidades ]],[1]!Tabela1[Gerente],0,0,1)</f>
        <v>Demais coordenadores</v>
      </c>
    </row>
    <row r="1694" spans="1:8" x14ac:dyDescent="0.3">
      <c r="A1694" s="4" t="s">
        <v>1787</v>
      </c>
      <c r="B1694" s="5" t="s">
        <v>44</v>
      </c>
      <c r="C1694" s="6">
        <v>45840</v>
      </c>
      <c r="D1694" s="7">
        <v>617463</v>
      </c>
      <c r="E1694" s="5" t="str">
        <f>_xlfn.XLOOKUP(D1694,[1]!Tabela24[Código consultor],[1]!Tabela24[Consultor Venda],0,0,1)</f>
        <v>DIG - CCO - ALEX AUGUSTO DA CRUZ RODRIGUES</v>
      </c>
      <c r="F1694" s="5" t="str">
        <f>_xlfn.XLOOKUP(D1694,[1]!Tabela24[Código consultor],[1]!Tabela24[Canal Consultor],0,0,1)</f>
        <v>DIGITAL</v>
      </c>
      <c r="G1694" s="5" t="str">
        <f>_xlfn.XLOOKUP(B1694,[1]!Tabela1[[Cidades ]],[1]!Tabela1[Regional],0,0,1)</f>
        <v>Jean</v>
      </c>
      <c r="H1694" s="8" t="str">
        <f>_xlfn.XLOOKUP(B1694,[1]!Tabela1[[Cidades ]],[1]!Tabela1[Gerente],0,0,1)</f>
        <v>Demais coordenadores</v>
      </c>
    </row>
    <row r="1695" spans="1:8" x14ac:dyDescent="0.3">
      <c r="A1695" s="9" t="s">
        <v>1788</v>
      </c>
      <c r="B1695" s="10" t="s">
        <v>90</v>
      </c>
      <c r="C1695" s="11">
        <v>45840</v>
      </c>
      <c r="D1695" s="12">
        <v>86784</v>
      </c>
      <c r="E1695" s="5" t="str">
        <f>_xlfn.XLOOKUP(D1695,[1]!Tabela24[Código consultor],[1]!Tabela24[Consultor Venda],0,0,1)</f>
        <v>PAR - INTE - SBU - INFOTCHE ZENATTI - JOAO VITOR MAIA</v>
      </c>
      <c r="F1695" s="5" t="str">
        <f>_xlfn.XLOOKUP(D1695,[1]!Tabela24[Código consultor],[1]!Tabela24[Canal Consultor],0,0,1)</f>
        <v>PAR</v>
      </c>
      <c r="G1695" s="10" t="str">
        <f>_xlfn.XLOOKUP(B1695,[1]!Tabela1[[Cidades ]],[1]!Tabela1[Regional],0,0,1)</f>
        <v>Alisson</v>
      </c>
      <c r="H1695" s="13" t="str">
        <f>_xlfn.XLOOKUP(B1695,[1]!Tabela1[[Cidades ]],[1]!Tabela1[Gerente],0,0,1)</f>
        <v>Helena</v>
      </c>
    </row>
    <row r="1696" spans="1:8" x14ac:dyDescent="0.3">
      <c r="A1696" s="4" t="s">
        <v>151</v>
      </c>
      <c r="B1696" s="5" t="s">
        <v>22</v>
      </c>
      <c r="C1696" s="6">
        <v>45840</v>
      </c>
      <c r="D1696" s="7">
        <v>736256</v>
      </c>
      <c r="E1696" s="5" t="str">
        <f>_xlfn.XLOOKUP(D1696,[1]!Tabela24[Código consultor],[1]!Tabela24[Consultor Venda],0,0,1)</f>
        <v>COM - SCR - JANICE CRISTINA RODRIGUES</v>
      </c>
      <c r="F1696" s="5" t="str">
        <f>_xlfn.XLOOKUP(D1696,[1]!Tabela24[Código consultor],[1]!Tabela24[Canal Consultor],0,0,1)</f>
        <v>INTERNO</v>
      </c>
      <c r="G1696" s="5" t="str">
        <f>_xlfn.XLOOKUP(B1696,[1]!Tabela1[[Cidades ]],[1]!Tabela1[Regional],0,0,1)</f>
        <v>Magno</v>
      </c>
      <c r="H1696" s="8" t="str">
        <f>_xlfn.XLOOKUP(B1696,[1]!Tabela1[[Cidades ]],[1]!Tabela1[Gerente],0,0,1)</f>
        <v>Demais coordenadores</v>
      </c>
    </row>
    <row r="1697" spans="1:8" x14ac:dyDescent="0.3">
      <c r="A1697" s="9" t="s">
        <v>183</v>
      </c>
      <c r="B1697" s="10" t="s">
        <v>31</v>
      </c>
      <c r="C1697" s="11">
        <v>45840</v>
      </c>
      <c r="D1697" s="12">
        <v>863796</v>
      </c>
      <c r="E1697" s="5" t="str">
        <f>_xlfn.XLOOKUP(D1697,[1]!Tabela24[Código consultor],[1]!Tabela24[Consultor Venda],0,0,1)</f>
        <v>COM - CCO - MARIUSKYS LOISMARY SILVA BOLIVAR</v>
      </c>
      <c r="F1697" s="5" t="str">
        <f>_xlfn.XLOOKUP(D1697,[1]!Tabela24[Código consultor],[1]!Tabela24[Canal Consultor],0,0,1)</f>
        <v>INTERNO</v>
      </c>
      <c r="G1697" s="10" t="str">
        <f>_xlfn.XLOOKUP(B1697,[1]!Tabela1[[Cidades ]],[1]!Tabela1[Regional],0,0,1)</f>
        <v>Maycon</v>
      </c>
      <c r="H1697" s="13" t="str">
        <f>_xlfn.XLOOKUP(B1697,[1]!Tabela1[[Cidades ]],[1]!Tabela1[Gerente],0,0,1)</f>
        <v>Demais coordenadores</v>
      </c>
    </row>
    <row r="1698" spans="1:8" x14ac:dyDescent="0.3">
      <c r="A1698" s="4" t="s">
        <v>232</v>
      </c>
      <c r="B1698" s="5" t="s">
        <v>70</v>
      </c>
      <c r="C1698" s="6">
        <v>45840</v>
      </c>
      <c r="D1698" s="7">
        <v>600710</v>
      </c>
      <c r="E1698" s="5" t="str">
        <f>_xlfn.XLOOKUP(D1698,[1]!Tabela24[Código consultor],[1]!Tabela24[Consultor Venda],0,0,1)</f>
        <v>DIG - CCO - BRUNA BALBINOTTI</v>
      </c>
      <c r="F1698" s="5" t="str">
        <f>_xlfn.XLOOKUP(D1698,[1]!Tabela24[Código consultor],[1]!Tabela24[Canal Consultor],0,0,1)</f>
        <v>DIGITAL</v>
      </c>
      <c r="G1698" s="5" t="str">
        <f>_xlfn.XLOOKUP(B1698,[1]!Tabela1[[Cidades ]],[1]!Tabela1[Regional],0,0,1)</f>
        <v>Alisson</v>
      </c>
      <c r="H1698" s="8" t="str">
        <f>_xlfn.XLOOKUP(B1698,[1]!Tabela1[[Cidades ]],[1]!Tabela1[Gerente],0,0,1)</f>
        <v>Ariana</v>
      </c>
    </row>
    <row r="1699" spans="1:8" x14ac:dyDescent="0.3">
      <c r="A1699" s="9" t="s">
        <v>243</v>
      </c>
      <c r="B1699" s="10" t="s">
        <v>44</v>
      </c>
      <c r="C1699" s="11">
        <v>45840</v>
      </c>
      <c r="D1699" s="12">
        <v>674036</v>
      </c>
      <c r="E1699" s="5" t="str">
        <f>_xlfn.XLOOKUP(D1699,[1]!Tabela24[Código consultor],[1]!Tabela24[Consultor Venda],0,0,1)</f>
        <v>COM - IRI - RODRIGO SOARES DA SILVA</v>
      </c>
      <c r="F1699" s="5" t="str">
        <f>_xlfn.XLOOKUP(D1699,[1]!Tabela24[Código consultor],[1]!Tabela24[Canal Consultor],0,0,1)</f>
        <v>Pap</v>
      </c>
      <c r="G1699" s="10" t="str">
        <f>_xlfn.XLOOKUP(B1699,[1]!Tabela1[[Cidades ]],[1]!Tabela1[Regional],0,0,1)</f>
        <v>Jean</v>
      </c>
      <c r="H1699" s="13" t="str">
        <f>_xlfn.XLOOKUP(B1699,[1]!Tabela1[[Cidades ]],[1]!Tabela1[Gerente],0,0,1)</f>
        <v>Demais coordenadores</v>
      </c>
    </row>
    <row r="1700" spans="1:8" x14ac:dyDescent="0.3">
      <c r="A1700" s="4" t="s">
        <v>1789</v>
      </c>
      <c r="B1700" s="5" t="s">
        <v>92</v>
      </c>
      <c r="C1700" s="6">
        <v>45840</v>
      </c>
      <c r="D1700" s="7">
        <v>77299</v>
      </c>
      <c r="E1700" s="5" t="str">
        <f>_xlfn.XLOOKUP(D1700,[1]!Tabela24[Código consultor],[1]!Tabela24[Consultor Venda],0,0,1)</f>
        <v>PAR - INTE - CDA - GND INFORMATICA - IDEMAR RUBERT</v>
      </c>
      <c r="F1700" s="5" t="str">
        <f>_xlfn.XLOOKUP(D1700,[1]!Tabela24[Código consultor],[1]!Tabela24[Canal Consultor],0,0,1)</f>
        <v>PAR</v>
      </c>
      <c r="G1700" s="5" t="str">
        <f>_xlfn.XLOOKUP(B1700,[1]!Tabela1[[Cidades ]],[1]!Tabela1[Regional],0,0,1)</f>
        <v>Maycon</v>
      </c>
      <c r="H1700" s="8" t="str">
        <f>_xlfn.XLOOKUP(B1700,[1]!Tabela1[[Cidades ]],[1]!Tabela1[Gerente],0,0,1)</f>
        <v>Demais coordenadores</v>
      </c>
    </row>
    <row r="1701" spans="1:8" x14ac:dyDescent="0.3">
      <c r="A1701" s="9" t="s">
        <v>1790</v>
      </c>
      <c r="B1701" s="10" t="s">
        <v>70</v>
      </c>
      <c r="C1701" s="11">
        <v>45840</v>
      </c>
      <c r="D1701" s="12">
        <v>788656</v>
      </c>
      <c r="E1701" s="5" t="str">
        <f>_xlfn.XLOOKUP(D1701,[1]!Tabela24[Código consultor],[1]!Tabela24[Consultor Venda],0,0,1)</f>
        <v>PAR - STB - PAP - JOY TELECOM - GABRIELA ALVES DE GODOY</v>
      </c>
      <c r="F1701" s="5" t="str">
        <f>_xlfn.XLOOKUP(D1701,[1]!Tabela24[Código consultor],[1]!Tabela24[Canal Consultor],0,0,1)</f>
        <v>PAR_DIG</v>
      </c>
      <c r="G1701" s="10" t="str">
        <f>_xlfn.XLOOKUP(B1701,[1]!Tabela1[[Cidades ]],[1]!Tabela1[Regional],0,0,1)</f>
        <v>Alisson</v>
      </c>
      <c r="H1701" s="13" t="str">
        <f>_xlfn.XLOOKUP(B1701,[1]!Tabela1[[Cidades ]],[1]!Tabela1[Gerente],0,0,1)</f>
        <v>Ariana</v>
      </c>
    </row>
    <row r="1702" spans="1:8" x14ac:dyDescent="0.3">
      <c r="A1702" s="4" t="s">
        <v>1791</v>
      </c>
      <c r="B1702" s="5" t="s">
        <v>39</v>
      </c>
      <c r="C1702" s="6">
        <v>45840</v>
      </c>
      <c r="D1702" s="7">
        <v>738880</v>
      </c>
      <c r="E1702" s="5" t="str">
        <f>_xlfn.XLOOKUP(D1702,[1]!Tabela24[Código consultor],[1]!Tabela24[Consultor Venda],0,0,1)</f>
        <v>PAR - PAP - MUNDIALE - ANA LUIZA COUTO MATIAS</v>
      </c>
      <c r="F1702" s="5" t="str">
        <f>_xlfn.XLOOKUP(D1702,[1]!Tabela24[Código consultor],[1]!Tabela24[Canal Consultor],0,0,1)</f>
        <v>PAR_DIG</v>
      </c>
      <c r="G1702" s="5" t="str">
        <f>_xlfn.XLOOKUP(B1702,[1]!Tabela1[[Cidades ]],[1]!Tabela1[Regional],0,0,1)</f>
        <v>Marcio</v>
      </c>
      <c r="H1702" s="8" t="str">
        <f>_xlfn.XLOOKUP(B1702,[1]!Tabela1[[Cidades ]],[1]!Tabela1[Gerente],0,0,1)</f>
        <v>Demais coordenadores</v>
      </c>
    </row>
    <row r="1703" spans="1:8" x14ac:dyDescent="0.3">
      <c r="A1703" s="9" t="s">
        <v>1792</v>
      </c>
      <c r="B1703" s="10" t="s">
        <v>10</v>
      </c>
      <c r="C1703" s="11">
        <v>45840</v>
      </c>
      <c r="D1703" s="12">
        <v>233138</v>
      </c>
      <c r="E1703" s="5" t="str">
        <f>_xlfn.XLOOKUP(D1703,[1]!Tabela24[Código consultor],[1]!Tabela24[Consultor Venda],0,0,1)</f>
        <v>PAR - INTE - GRP - MOBILE HD - ALINE KARNOSKI</v>
      </c>
      <c r="F1703" s="5" t="str">
        <f>_xlfn.XLOOKUP(D1703,[1]!Tabela24[Código consultor],[1]!Tabela24[Canal Consultor],0,0,1)</f>
        <v>PAR</v>
      </c>
      <c r="G1703" s="10" t="str">
        <f>_xlfn.XLOOKUP(B1703,[1]!Tabela1[[Cidades ]],[1]!Tabela1[Regional],0,0,1)</f>
        <v>Jean</v>
      </c>
      <c r="H1703" s="13" t="str">
        <f>_xlfn.XLOOKUP(B1703,[1]!Tabela1[[Cidades ]],[1]!Tabela1[Gerente],0,0,1)</f>
        <v>Demais coordenadores</v>
      </c>
    </row>
    <row r="1704" spans="1:8" x14ac:dyDescent="0.3">
      <c r="A1704" s="4" t="s">
        <v>1793</v>
      </c>
      <c r="B1704" s="5" t="s">
        <v>97</v>
      </c>
      <c r="C1704" s="6">
        <v>45840</v>
      </c>
      <c r="D1704" s="7">
        <v>884826</v>
      </c>
      <c r="E1704" s="5">
        <f>_xlfn.XLOOKUP(D1704,[1]!Tabela24[Código consultor],[1]!Tabela24[Consultor Venda],0,0,1)</f>
        <v>0</v>
      </c>
      <c r="F1704" s="5">
        <f>_xlfn.XLOOKUP(D1704,[1]!Tabela24[Código consultor],[1]!Tabela24[Canal Consultor],0,0,1)</f>
        <v>0</v>
      </c>
      <c r="G1704" s="5" t="str">
        <f>_xlfn.XLOOKUP(B1704,[1]!Tabela1[[Cidades ]],[1]!Tabela1[Regional],0,0,1)</f>
        <v>Alisson</v>
      </c>
      <c r="H1704" s="8" t="str">
        <f>_xlfn.XLOOKUP(B1704,[1]!Tabela1[[Cidades ]],[1]!Tabela1[Gerente],0,0,1)</f>
        <v>Helena</v>
      </c>
    </row>
    <row r="1705" spans="1:8" x14ac:dyDescent="0.3">
      <c r="A1705" s="9" t="s">
        <v>1794</v>
      </c>
      <c r="B1705" s="10" t="s">
        <v>39</v>
      </c>
      <c r="C1705" s="11">
        <v>45840</v>
      </c>
      <c r="D1705" s="12">
        <v>860413</v>
      </c>
      <c r="E1705" s="5" t="str">
        <f>_xlfn.XLOOKUP(D1705,[1]!Tabela24[Código consultor],[1]!Tabela24[Consultor Venda],0,0,1)</f>
        <v>PAR - LGS - COM - M.A FIBRA OPTICA - JESSICA M. DOS SANTOS</v>
      </c>
      <c r="F1705" s="5" t="str">
        <f>_xlfn.XLOOKUP(D1705,[1]!Tabela24[Código consultor],[1]!Tabela24[Canal Consultor],0,0,1)</f>
        <v>PAR</v>
      </c>
      <c r="G1705" s="10" t="str">
        <f>_xlfn.XLOOKUP(B1705,[1]!Tabela1[[Cidades ]],[1]!Tabela1[Regional],0,0,1)</f>
        <v>Marcio</v>
      </c>
      <c r="H1705" s="13" t="str">
        <f>_xlfn.XLOOKUP(B1705,[1]!Tabela1[[Cidades ]],[1]!Tabela1[Gerente],0,0,1)</f>
        <v>Demais coordenadores</v>
      </c>
    </row>
    <row r="1706" spans="1:8" x14ac:dyDescent="0.3">
      <c r="A1706" s="4" t="s">
        <v>1795</v>
      </c>
      <c r="B1706" s="5" t="s">
        <v>46</v>
      </c>
      <c r="C1706" s="6">
        <v>45840</v>
      </c>
      <c r="D1706" s="7">
        <v>794227</v>
      </c>
      <c r="E1706" s="5" t="str">
        <f>_xlfn.XLOOKUP(D1706,[1]!Tabela24[Código consultor],[1]!Tabela24[Consultor Venda],0,0,1)</f>
        <v>PAR - PAP - TECH PERFORMANCE - Dario de Oliveira</v>
      </c>
      <c r="F1706" s="5" t="str">
        <f>_xlfn.XLOOKUP(D1706,[1]!Tabela24[Código consultor],[1]!Tabela24[Canal Consultor],0,0,1)</f>
        <v>Par</v>
      </c>
      <c r="G1706" s="5" t="str">
        <f>_xlfn.XLOOKUP(B1706,[1]!Tabela1[[Cidades ]],[1]!Tabela1[Regional],0,0,1)</f>
        <v>Magno</v>
      </c>
      <c r="H1706" s="8" t="str">
        <f>_xlfn.XLOOKUP(B1706,[1]!Tabela1[[Cidades ]],[1]!Tabela1[Gerente],0,0,1)</f>
        <v>Demais coordenadores</v>
      </c>
    </row>
    <row r="1707" spans="1:8" x14ac:dyDescent="0.3">
      <c r="A1707" s="9" t="s">
        <v>1796</v>
      </c>
      <c r="B1707" s="10" t="s">
        <v>10</v>
      </c>
      <c r="C1707" s="11">
        <v>45840</v>
      </c>
      <c r="D1707" s="12">
        <v>525458</v>
      </c>
      <c r="E1707" s="5" t="str">
        <f>_xlfn.XLOOKUP(D1707,[1]!Tabela24[Código consultor],[1]!Tabela24[Consultor Venda],0,0,1)</f>
        <v>PAR - ADM - GRP - FIGUEREDO MOBILE  - JOSELIO O. P. JUNIOR</v>
      </c>
      <c r="F1707" s="5" t="str">
        <f>_xlfn.XLOOKUP(D1707,[1]!Tabela24[Código consultor],[1]!Tabela24[Canal Consultor],0,0,1)</f>
        <v>PAR</v>
      </c>
      <c r="G1707" s="10" t="str">
        <f>_xlfn.XLOOKUP(B1707,[1]!Tabela1[[Cidades ]],[1]!Tabela1[Regional],0,0,1)</f>
        <v>Jean</v>
      </c>
      <c r="H1707" s="13" t="str">
        <f>_xlfn.XLOOKUP(B1707,[1]!Tabela1[[Cidades ]],[1]!Tabela1[Gerente],0,0,1)</f>
        <v>Demais coordenadores</v>
      </c>
    </row>
    <row r="1708" spans="1:8" x14ac:dyDescent="0.3">
      <c r="A1708" s="4" t="s">
        <v>1797</v>
      </c>
      <c r="B1708" s="5" t="s">
        <v>59</v>
      </c>
      <c r="C1708" s="6">
        <v>45840</v>
      </c>
      <c r="D1708" s="7">
        <v>600710</v>
      </c>
      <c r="E1708" s="5" t="str">
        <f>_xlfn.XLOOKUP(D1708,[1]!Tabela24[Código consultor],[1]!Tabela24[Consultor Venda],0,0,1)</f>
        <v>DIG - CCO - BRUNA BALBINOTTI</v>
      </c>
      <c r="F1708" s="5" t="str">
        <f>_xlfn.XLOOKUP(D1708,[1]!Tabela24[Código consultor],[1]!Tabela24[Canal Consultor],0,0,1)</f>
        <v>DIGITAL</v>
      </c>
      <c r="G1708" s="5" t="str">
        <f>_xlfn.XLOOKUP(B1708,[1]!Tabela1[[Cidades ]],[1]!Tabela1[Regional],0,0,1)</f>
        <v>Adilson</v>
      </c>
      <c r="H1708" s="8" t="str">
        <f>_xlfn.XLOOKUP(B1708,[1]!Tabela1[[Cidades ]],[1]!Tabela1[Gerente],0,0,1)</f>
        <v>Demais coordenadores</v>
      </c>
    </row>
    <row r="1709" spans="1:8" x14ac:dyDescent="0.3">
      <c r="A1709" s="9" t="s">
        <v>1798</v>
      </c>
      <c r="B1709" s="10" t="s">
        <v>59</v>
      </c>
      <c r="C1709" s="11">
        <v>45840</v>
      </c>
      <c r="D1709" s="12">
        <v>694166</v>
      </c>
      <c r="E1709" s="5" t="str">
        <f>_xlfn.XLOOKUP(D1709,[1]!Tabela24[Código consultor],[1]!Tabela24[Consultor Venda],0,0,1)</f>
        <v>DIG - CCO - CARINE CORREA SOARES</v>
      </c>
      <c r="F1709" s="5" t="str">
        <f>_xlfn.XLOOKUP(D1709,[1]!Tabela24[Código consultor],[1]!Tabela24[Canal Consultor],0,0,1)</f>
        <v>DIGITAL</v>
      </c>
      <c r="G1709" s="10" t="str">
        <f>_xlfn.XLOOKUP(B1709,[1]!Tabela1[[Cidades ]],[1]!Tabela1[Regional],0,0,1)</f>
        <v>Adilson</v>
      </c>
      <c r="H1709" s="13" t="str">
        <f>_xlfn.XLOOKUP(B1709,[1]!Tabela1[[Cidades ]],[1]!Tabela1[Gerente],0,0,1)</f>
        <v>Demais coordenadores</v>
      </c>
    </row>
    <row r="1710" spans="1:8" x14ac:dyDescent="0.3">
      <c r="A1710" s="4" t="s">
        <v>1799</v>
      </c>
      <c r="B1710" s="5" t="s">
        <v>31</v>
      </c>
      <c r="C1710" s="6">
        <v>45840</v>
      </c>
      <c r="D1710" s="7">
        <v>197832</v>
      </c>
      <c r="E1710" s="5" t="str">
        <f>_xlfn.XLOOKUP(D1710,[1]!Tabela24[Código consultor],[1]!Tabela24[Consultor Venda],0,0,1)</f>
        <v>DIG - CCO - RAIANE BERGAMIN</v>
      </c>
      <c r="F1710" s="5" t="str">
        <f>_xlfn.XLOOKUP(D1710,[1]!Tabela24[Código consultor],[1]!Tabela24[Canal Consultor],0,0,1)</f>
        <v>DIGITAL</v>
      </c>
      <c r="G1710" s="5" t="str">
        <f>_xlfn.XLOOKUP(B1710,[1]!Tabela1[[Cidades ]],[1]!Tabela1[Regional],0,0,1)</f>
        <v>Maycon</v>
      </c>
      <c r="H1710" s="8" t="str">
        <f>_xlfn.XLOOKUP(B1710,[1]!Tabela1[[Cidades ]],[1]!Tabela1[Gerente],0,0,1)</f>
        <v>Demais coordenadores</v>
      </c>
    </row>
    <row r="1711" spans="1:8" x14ac:dyDescent="0.3">
      <c r="A1711" s="9" t="s">
        <v>1800</v>
      </c>
      <c r="B1711" s="10" t="s">
        <v>53</v>
      </c>
      <c r="C1711" s="11">
        <v>45840</v>
      </c>
      <c r="D1711" s="12">
        <v>683349</v>
      </c>
      <c r="E1711" s="5" t="str">
        <f>_xlfn.XLOOKUP(D1711,[1]!Tabela24[Código consultor],[1]!Tabela24[Consultor Venda],0,0,1)</f>
        <v>DIG - CCO - EVELLIN SALOA MAIA DA CONCEICAO</v>
      </c>
      <c r="F1711" s="5" t="str">
        <f>_xlfn.XLOOKUP(D1711,[1]!Tabela24[Código consultor],[1]!Tabela24[Canal Consultor],0,0,1)</f>
        <v>DIGITAL</v>
      </c>
      <c r="G1711" s="10" t="str">
        <f>_xlfn.XLOOKUP(B1711,[1]!Tabela1[[Cidades ]],[1]!Tabela1[Regional],0,0,1)</f>
        <v>Adilson</v>
      </c>
      <c r="H1711" s="13" t="str">
        <f>_xlfn.XLOOKUP(B1711,[1]!Tabela1[[Cidades ]],[1]!Tabela1[Gerente],0,0,1)</f>
        <v>Demais coordenadores</v>
      </c>
    </row>
    <row r="1712" spans="1:8" x14ac:dyDescent="0.3">
      <c r="A1712" s="4" t="s">
        <v>1715</v>
      </c>
      <c r="B1712" s="5" t="s">
        <v>30</v>
      </c>
      <c r="C1712" s="6">
        <v>45840</v>
      </c>
      <c r="D1712" s="7">
        <v>867522</v>
      </c>
      <c r="E1712" s="5" t="str">
        <f>_xlfn.XLOOKUP(D1712,[1]!Tabela24[Código consultor],[1]!Tabela24[Consultor Venda],0,0,1)</f>
        <v>COM - IGA - SANDRO CESAR MARTINS</v>
      </c>
      <c r="F1712" s="5" t="str">
        <f>_xlfn.XLOOKUP(D1712,[1]!Tabela24[Código consultor],[1]!Tabela24[Canal Consultor],0,0,1)</f>
        <v>Pap</v>
      </c>
      <c r="G1712" s="5" t="str">
        <f>_xlfn.XLOOKUP(B1712,[1]!Tabela1[[Cidades ]],[1]!Tabela1[Regional],0,0,1)</f>
        <v>Jean</v>
      </c>
      <c r="H1712" s="8" t="str">
        <f>_xlfn.XLOOKUP(B1712,[1]!Tabela1[[Cidades ]],[1]!Tabela1[Gerente],0,0,1)</f>
        <v>Demais coordenadores</v>
      </c>
    </row>
    <row r="1713" spans="1:8" x14ac:dyDescent="0.3">
      <c r="A1713" s="9" t="s">
        <v>1801</v>
      </c>
      <c r="B1713" s="10" t="s">
        <v>39</v>
      </c>
      <c r="C1713" s="11">
        <v>45840</v>
      </c>
      <c r="D1713" s="12">
        <v>683349</v>
      </c>
      <c r="E1713" s="5" t="str">
        <f>_xlfn.XLOOKUP(D1713,[1]!Tabela24[Código consultor],[1]!Tabela24[Consultor Venda],0,0,1)</f>
        <v>DIG - CCO - EVELLIN SALOA MAIA DA CONCEICAO</v>
      </c>
      <c r="F1713" s="5" t="str">
        <f>_xlfn.XLOOKUP(D1713,[1]!Tabela24[Código consultor],[1]!Tabela24[Canal Consultor],0,0,1)</f>
        <v>DIGITAL</v>
      </c>
      <c r="G1713" s="10" t="str">
        <f>_xlfn.XLOOKUP(B1713,[1]!Tabela1[[Cidades ]],[1]!Tabela1[Regional],0,0,1)</f>
        <v>Marcio</v>
      </c>
      <c r="H1713" s="13" t="str">
        <f>_xlfn.XLOOKUP(B1713,[1]!Tabela1[[Cidades ]],[1]!Tabela1[Gerente],0,0,1)</f>
        <v>Demais coordenadores</v>
      </c>
    </row>
    <row r="1714" spans="1:8" x14ac:dyDescent="0.3">
      <c r="A1714" s="4" t="s">
        <v>1802</v>
      </c>
      <c r="B1714" s="5" t="s">
        <v>63</v>
      </c>
      <c r="C1714" s="6">
        <v>45840</v>
      </c>
      <c r="D1714" s="7">
        <v>110</v>
      </c>
      <c r="E1714" s="5" t="str">
        <f>_xlfn.XLOOKUP(D1714,[1]!Tabela24[Código consultor],[1]!Tabela24[Consultor Venda],0,0,1)</f>
        <v>PAR - INTE - STHO - JACKSON HAAS - JACKSON HAAS</v>
      </c>
      <c r="F1714" s="5" t="str">
        <f>_xlfn.XLOOKUP(D1714,[1]!Tabela24[Código consultor],[1]!Tabela24[Canal Consultor],0,0,1)</f>
        <v>PAR</v>
      </c>
      <c r="G1714" s="5" t="str">
        <f>_xlfn.XLOOKUP(B1714,[1]!Tabela1[[Cidades ]],[1]!Tabela1[Regional],0,0,1)</f>
        <v>Maycon</v>
      </c>
      <c r="H1714" s="8" t="str">
        <f>_xlfn.XLOOKUP(B1714,[1]!Tabela1[[Cidades ]],[1]!Tabela1[Gerente],0,0,1)</f>
        <v>Demais coordenadores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CCO-PME-02740</dc:creator>
  <cp:lastModifiedBy>CCO-PME-02740</cp:lastModifiedBy>
  <dcterms:created xsi:type="dcterms:W3CDTF">2025-06-28T14:47:57Z</dcterms:created>
  <dcterms:modified xsi:type="dcterms:W3CDTF">2025-07-03T13:47:35Z</dcterms:modified>
</cp:coreProperties>
</file>